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GoldenGriffinGames\Projects\GoldenGriffinModding\Minecraft\Realmaxxin\Treet\"/>
    </mc:Choice>
  </mc:AlternateContent>
  <xr:revisionPtr revIDLastSave="0" documentId="13_ncr:1_{33C28BF1-A2F8-4B4B-B3C7-D67AB8625B70}" xr6:coauthVersionLast="47" xr6:coauthVersionMax="47" xr10:uidLastSave="{00000000-0000-0000-0000-000000000000}"/>
  <bookViews>
    <workbookView xWindow="-120" yWindow="-120" windowWidth="29040" windowHeight="15840" firstSheet="3" activeTab="4" xr2:uid="{00000000-000D-0000-FFFF-FFFF00000000}"/>
  </bookViews>
  <sheets>
    <sheet name="Processing Tree NEW" sheetId="9" r:id="rId1"/>
    <sheet name="Drops" sheetId="2" r:id="rId2"/>
    <sheet name="Recipes" sheetId="3" r:id="rId3"/>
    <sheet name="New Trees" sheetId="5" r:id="rId4"/>
    <sheet name="Updated Trees" sheetId="7" r:id="rId5"/>
    <sheet name="New Items" sheetId="4" r:id="rId6"/>
    <sheet name="Updated Items" sheetId="6" r:id="rId7"/>
    <sheet name="Wood Properties" sheetId="10" r:id="rId8"/>
    <sheet name="Phenology" sheetId="11" r:id="rId9"/>
    <sheet name="Hook Analysis" sheetId="13" r:id="rId10"/>
    <sheet name="Family Analysis" sheetId="14" r:id="rId11"/>
    <sheet name="Settings" sheetId="8"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3" l="1"/>
  <c r="F11" i="13"/>
  <c r="F13" i="13"/>
  <c r="F14" i="13"/>
  <c r="F15" i="13"/>
  <c r="F17" i="13"/>
  <c r="F18" i="13"/>
  <c r="F19" i="13"/>
  <c r="H9" i="14"/>
  <c r="H10" i="14"/>
  <c r="H11" i="14"/>
  <c r="H8" i="14"/>
  <c r="H13" i="14"/>
  <c r="H14" i="14"/>
  <c r="H15" i="14"/>
  <c r="H17" i="14"/>
  <c r="H18" i="14"/>
  <c r="H19" i="14"/>
  <c r="B44" i="14"/>
  <c r="B30" i="14"/>
  <c r="B6" i="14"/>
  <c r="B7" i="14"/>
  <c r="B8" i="14"/>
  <c r="B9" i="14"/>
  <c r="B10" i="14"/>
  <c r="B11" i="14"/>
  <c r="B12" i="14"/>
  <c r="B13" i="14"/>
  <c r="B14" i="14"/>
  <c r="B15" i="14"/>
  <c r="B16" i="14"/>
  <c r="B17" i="14"/>
  <c r="B18" i="14"/>
  <c r="B19" i="14"/>
  <c r="B20" i="14"/>
  <c r="B21" i="14"/>
  <c r="B22" i="14"/>
  <c r="B23" i="14"/>
  <c r="B24" i="14"/>
  <c r="B25" i="14"/>
  <c r="B26" i="14"/>
  <c r="B27" i="14"/>
  <c r="B28" i="14"/>
  <c r="B29" i="14"/>
  <c r="B31" i="14"/>
  <c r="B32" i="14"/>
  <c r="B33" i="14"/>
  <c r="B34" i="14"/>
  <c r="B35" i="14"/>
  <c r="B36" i="14"/>
  <c r="B37" i="14"/>
  <c r="B38" i="14"/>
  <c r="B39" i="14"/>
  <c r="B40" i="14"/>
  <c r="B41" i="14"/>
  <c r="B42" i="14"/>
  <c r="B43"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5" i="14"/>
  <c r="H7" i="14"/>
  <c r="H6" i="14"/>
  <c r="H5" i="14"/>
  <c r="F9" i="13"/>
  <c r="F8" i="13"/>
  <c r="F5" i="13"/>
  <c r="F7" i="13"/>
  <c r="F6"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 i="13"/>
  <c r="C30" i="14" l="1"/>
  <c r="C75" i="14"/>
  <c r="C76" i="14"/>
  <c r="C73" i="14"/>
  <c r="C77" i="14"/>
  <c r="C74" i="14"/>
  <c r="C45" i="14"/>
  <c r="C60" i="14"/>
  <c r="C47" i="14"/>
  <c r="C48" i="14"/>
  <c r="C49" i="14"/>
  <c r="C59" i="14"/>
  <c r="C62" i="14"/>
  <c r="C63" i="14"/>
  <c r="C78" i="14"/>
  <c r="C46" i="14"/>
  <c r="C61" i="14"/>
  <c r="C35" i="14"/>
  <c r="C6" i="14"/>
  <c r="C9" i="14"/>
  <c r="C11" i="14"/>
  <c r="C12" i="14"/>
  <c r="C14" i="14"/>
  <c r="C16" i="14"/>
  <c r="C18" i="14"/>
  <c r="C27" i="14"/>
  <c r="C31" i="14"/>
  <c r="C34" i="14"/>
  <c r="C20" i="14"/>
  <c r="C21" i="14"/>
  <c r="C22" i="14"/>
  <c r="C23" i="14"/>
  <c r="C24" i="14"/>
  <c r="C25" i="14"/>
  <c r="C26" i="14"/>
  <c r="C28" i="14"/>
  <c r="C32" i="14"/>
  <c r="C36" i="14"/>
  <c r="C37" i="14"/>
  <c r="C38" i="14"/>
  <c r="C39" i="14"/>
  <c r="C40" i="14"/>
  <c r="C41" i="14"/>
  <c r="C42" i="14"/>
  <c r="C43" i="14"/>
  <c r="C44" i="14"/>
  <c r="C50" i="14"/>
  <c r="C51" i="14"/>
  <c r="C52" i="14"/>
  <c r="C53" i="14"/>
  <c r="C54" i="14"/>
  <c r="C55" i="14"/>
  <c r="C56" i="14"/>
  <c r="C57" i="14"/>
  <c r="C58" i="14"/>
  <c r="C64" i="14"/>
  <c r="C65" i="14"/>
  <c r="C66" i="14"/>
  <c r="C67" i="14"/>
  <c r="C68" i="14"/>
  <c r="C69" i="14"/>
  <c r="C70" i="14"/>
  <c r="C71" i="14"/>
  <c r="C72" i="14"/>
  <c r="C79" i="14"/>
  <c r="C5" i="14"/>
  <c r="C7" i="14"/>
  <c r="C8" i="14"/>
  <c r="C10" i="14"/>
  <c r="C13" i="14"/>
  <c r="C15" i="14"/>
  <c r="C17" i="14"/>
  <c r="C19" i="14"/>
  <c r="C29" i="14"/>
  <c r="C33" i="14"/>
  <c r="C5" i="13"/>
  <c r="C7" i="13"/>
  <c r="C9" i="13"/>
  <c r="C10" i="13"/>
  <c r="C11" i="13"/>
  <c r="C13" i="13"/>
  <c r="C18" i="13"/>
  <c r="C19" i="13"/>
  <c r="C20" i="13"/>
  <c r="C22" i="13"/>
  <c r="C24" i="13"/>
  <c r="C26" i="13"/>
  <c r="C28" i="13"/>
  <c r="C30" i="13"/>
  <c r="C34" i="13"/>
  <c r="C37" i="13"/>
  <c r="C39" i="13"/>
  <c r="C42" i="13"/>
  <c r="C45" i="13"/>
  <c r="C48" i="13"/>
  <c r="C21" i="13"/>
  <c r="C31" i="13"/>
  <c r="C33" i="13"/>
  <c r="C36" i="13"/>
  <c r="C38" i="13"/>
  <c r="C41" i="13"/>
  <c r="C44" i="13"/>
  <c r="C47" i="13"/>
  <c r="C6" i="13"/>
  <c r="C8" i="13"/>
  <c r="C12" i="13"/>
  <c r="C14" i="13"/>
  <c r="C15" i="13"/>
  <c r="C16" i="13"/>
  <c r="C17" i="13"/>
  <c r="C23" i="13"/>
  <c r="C25" i="13"/>
  <c r="C27" i="13"/>
  <c r="C29" i="13"/>
  <c r="C32" i="13"/>
  <c r="C35" i="13"/>
  <c r="C40" i="13"/>
  <c r="C43" i="13"/>
  <c r="C46" i="13"/>
  <c r="C49" i="13"/>
</calcChain>
</file>

<file path=xl/sharedStrings.xml><?xml version="1.0" encoding="utf-8"?>
<sst xmlns="http://schemas.openxmlformats.org/spreadsheetml/2006/main" count="7168" uniqueCount="2894">
  <si>
    <t>Minecraft</t>
  </si>
  <si>
    <t>Weathered Log</t>
  </si>
  <si>
    <t>Weathered Dark Stained Planks</t>
  </si>
  <si>
    <t>Log</t>
  </si>
  <si>
    <t>Weathered Planks</t>
  </si>
  <si>
    <t>Weathered Stained Planks</t>
  </si>
  <si>
    <t>Sapling</t>
  </si>
  <si>
    <t>Preserved Log</t>
  </si>
  <si>
    <t>Weathered Light Stained Planks</t>
  </si>
  <si>
    <t>Stripped Log</t>
  </si>
  <si>
    <t>Preserved Light Stained Planks</t>
  </si>
  <si>
    <t>Preserved Planks</t>
  </si>
  <si>
    <t>Preserved Stripped Log</t>
  </si>
  <si>
    <t>Preserved Stained Planks</t>
  </si>
  <si>
    <t>Preserved Dark Stained Planks</t>
  </si>
  <si>
    <t>(Colour) Planks</t>
  </si>
  <si>
    <t>(Colour) Painted Log</t>
  </si>
  <si>
    <t>Tree &amp; Material Drops</t>
  </si>
  <si>
    <t>Tree Reproduction Drops</t>
  </si>
  <si>
    <t>Tree / Family</t>
  </si>
  <si>
    <t>Source</t>
  </si>
  <si>
    <t>Natural Drop</t>
  </si>
  <si>
    <t>Drop Form</t>
  </si>
  <si>
    <t>Player Processing</t>
  </si>
  <si>
    <t>Nursery Input</t>
  </si>
  <si>
    <t>Nursery Output</t>
  </si>
  <si>
    <t>Yield</t>
  </si>
  <si>
    <t>Status</t>
  </si>
  <si>
    <t>Notes / Source</t>
  </si>
  <si>
    <t>Fir and other conifers</t>
  </si>
  <si>
    <t>Leaves</t>
  </si>
  <si>
    <t>Cone</t>
  </si>
  <si>
    <t>Seed container</t>
  </si>
  <si>
    <t>Open cone</t>
  </si>
  <si>
    <t>Species seed</t>
  </si>
  <si>
    <t>Species sapling</t>
  </si>
  <si>
    <t>Multiple seeds — TBD</t>
  </si>
  <si>
    <t>Agreed concept</t>
  </si>
  <si>
    <t>Cones contain seeds; use species-specific seeds. https://csfs.colostate.edu/forests-trees/colorados-major-tree-species/</t>
  </si>
  <si>
    <t>Oak family</t>
  </si>
  <si>
    <t>Acorn</t>
  </si>
  <si>
    <t>Plantable seed</t>
  </si>
  <si>
    <t>None</t>
  </si>
  <si>
    <t>Oak sapling</t>
  </si>
  <si>
    <t>1 sapling after nursery growth</t>
  </si>
  <si>
    <t>The acorn is planted directly; no separate Oak Seed item needed. https://www.ndsu.edu/ndfs/recommended-trees-north-dakota-communities</t>
  </si>
  <si>
    <t>Birch</t>
  </si>
  <si>
    <t>Catkin</t>
  </si>
  <si>
    <t>Seed cluster</t>
  </si>
  <si>
    <t>Separate seeds</t>
  </si>
  <si>
    <t>Birch seed</t>
  </si>
  <si>
    <t>Birch sapling</t>
  </si>
  <si>
    <t>Research mapping</t>
  </si>
  <si>
    <t>Birch fruits are cone-like catkins composed of tiny seeds. https://cfaes.osu.edu/fact-sheet/native-trees-creating-living-landscapes-birds-butterflies-bees-and-other-beneficials</t>
  </si>
  <si>
    <t>Maple</t>
  </si>
  <si>
    <t>Samara</t>
  </si>
  <si>
    <t>Winged fruit / seed</t>
  </si>
  <si>
    <t>Direct planting or separate seed — TBD</t>
  </si>
  <si>
    <t>Maple samara / seed</t>
  </si>
  <si>
    <t>Maple sapling</t>
  </si>
  <si>
    <t>TBD</t>
  </si>
  <si>
    <t>Maples produce winged samaras. https://cfaes.osu.edu/fact-sheet/native-trees-creating-living-landscapes-birds-butterflies-bees-and-other-beneficials</t>
  </si>
  <si>
    <t>Mahogany</t>
  </si>
  <si>
    <t>Woody capsule</t>
  </si>
  <si>
    <t>Open capsule</t>
  </si>
  <si>
    <t>Mahogany seed</t>
  </si>
  <si>
    <t>Mahogany sapling</t>
  </si>
  <si>
    <t>Big-leaf mahogany produces woody capsules containing winged seeds. https://www.fs.usda.gov/nsl/Wpsm/Swietenia.pdf</t>
  </si>
  <si>
    <t>Mangrove</t>
  </si>
  <si>
    <t>Propagule</t>
  </si>
  <si>
    <t>Germinating seedling</t>
  </si>
  <si>
    <t>Special-case result — TBD</t>
  </si>
  <si>
    <t>Special case</t>
  </si>
  <si>
    <t>Propagules are already germinating seedlings; decide whether they bypass or briefly use the nursery. https://ocean.si.edu/ecosystems/coasts-shallow-water/floating-propagules</t>
  </si>
  <si>
    <t>Processing Drops &amp; Outputs</t>
  </si>
  <si>
    <t>Action / Source</t>
  </si>
  <si>
    <t>Tool / Method</t>
  </si>
  <si>
    <t>Primary Output</t>
  </si>
  <si>
    <t>Additional Drop</t>
  </si>
  <si>
    <t>Quantity</t>
  </si>
  <si>
    <t>Design Note</t>
  </si>
  <si>
    <t>Strip compatible unstripped log</t>
  </si>
  <si>
    <t>Axe</t>
  </si>
  <si>
    <t>Corresponding stripped log</t>
  </si>
  <si>
    <t>1 Bark</t>
  </si>
  <si>
    <t>Agreed</t>
  </si>
  <si>
    <t>Normal axe durability; already-stripped logs give no Bark.</t>
  </si>
  <si>
    <t>Process bark-on log</t>
  </si>
  <si>
    <t>Crafting or sawmill — TBD</t>
  </si>
  <si>
    <t>Rough-Sawn Planks</t>
  </si>
  <si>
    <t>Plank yield — TBD</t>
  </si>
  <si>
    <t>Rustic unfinished boards with visible bark remnants; full decorative block initially.</t>
  </si>
  <si>
    <t>Process stripped log</t>
  </si>
  <si>
    <t>Finished Planks</t>
  </si>
  <si>
    <t>Clean, uniform boards used for the normal plank family.</t>
  </si>
  <si>
    <t>Raise species seed</t>
  </si>
  <si>
    <t>Nursery tray / bed</t>
  </si>
  <si>
    <t>1 sapling</t>
  </si>
  <si>
    <t>Visible stages: planted seed → sprout → seedling → harvestable sapling.</t>
  </si>
  <si>
    <t>Balancing Decisions Still Open</t>
  </si>
  <si>
    <t>• Exact leaf-drop chances and the effect of Fortune remain TBD.</t>
  </si>
  <si>
    <t>• Seed extraction quantities and nursery growth times remain TBD.</t>
  </si>
  <si>
    <t>• Water, compost, mulch, and bone-meal bonuses remain TBD.</t>
  </si>
  <si>
    <t>• Universal Bark is locked in to avoid species-specific inventory clutter.</t>
  </si>
  <si>
    <t>1 Log</t>
  </si>
  <si>
    <t>→</t>
  </si>
  <si>
    <t>1 Preserved Log</t>
  </si>
  <si>
    <t>2 Resin</t>
  </si>
  <si>
    <t>1 Stripped Log</t>
  </si>
  <si>
    <t>1 Preserved Stripped Log</t>
  </si>
  <si>
    <t>1 Resin</t>
  </si>
  <si>
    <t>Weathered Log or Weathered Stripped Log</t>
  </si>
  <si>
    <t>1 Log or 1 Stripped Log</t>
  </si>
  <si>
    <t>1 Weathered Log or 1 Weathered Stripped Log</t>
  </si>
  <si>
    <t>Leave outside until it changes</t>
  </si>
  <si>
    <t>1 (Colour) Painted Log</t>
  </si>
  <si>
    <t>1 (Colour) Dye</t>
  </si>
  <si>
    <t>1 Preserved Log or</t>
  </si>
  <si>
    <t>4 Preserved Planks</t>
  </si>
  <si>
    <t>1 Weathered Log or</t>
  </si>
  <si>
    <t>4 Weathered Planks</t>
  </si>
  <si>
    <t>1 Weathered Stripped Log</t>
  </si>
  <si>
    <t>4 Preserved Dark Stained Planks</t>
  </si>
  <si>
    <t>1 Dark Stain</t>
  </si>
  <si>
    <t>4 Weathered Dark Stained Planks</t>
  </si>
  <si>
    <t>4 Preserved Stained Planks</t>
  </si>
  <si>
    <t>1 Stain</t>
  </si>
  <si>
    <t>4 Weathered Stained Planks</t>
  </si>
  <si>
    <t>4 Preserved Light Stained Planks</t>
  </si>
  <si>
    <t>1 Light Stain</t>
  </si>
  <si>
    <t>4 Weathered Light Stained Planks</t>
  </si>
  <si>
    <t>4 Planks (Weathered or Preserved)</t>
  </si>
  <si>
    <t>4 (Colour) Planks</t>
  </si>
  <si>
    <t>2 (Colour) Dye</t>
  </si>
  <si>
    <t>Wood Stain</t>
  </si>
  <si>
    <t>1 Bottle of Water</t>
  </si>
  <si>
    <t>1 Bottle of Wood Stain</t>
  </si>
  <si>
    <t>2 Black Dye</t>
  </si>
  <si>
    <t>Light Wood Stain</t>
  </si>
  <si>
    <t>1 Bottle of Light Wood Stain</t>
  </si>
  <si>
    <t>1 Black Dye</t>
  </si>
  <si>
    <t>Dark Wood Stain</t>
  </si>
  <si>
    <t>1 Bottle of Dark Wood Stain</t>
  </si>
  <si>
    <t>3 Black Dye</t>
  </si>
  <si>
    <t>Treet</t>
  </si>
  <si>
    <t>Minecraft 26.1.2</t>
  </si>
  <si>
    <t>Minecraft 26.1.2 Forestry Systems</t>
  </si>
  <si>
    <t>Mod/Namespace</t>
  </si>
  <si>
    <t>Item ID</t>
  </si>
  <si>
    <t>Notes</t>
  </si>
  <si>
    <t>Tree Processing - Updated Trees</t>
  </si>
  <si>
    <t>Tree Processing - Spreadsheet Settings</t>
  </si>
  <si>
    <t>Tree Processing - New Trees</t>
  </si>
  <si>
    <t>Tree Processing - Updated Items</t>
  </si>
  <si>
    <t>Tree Processing - New Items</t>
  </si>
  <si>
    <t>Tree Processing - Tree</t>
  </si>
  <si>
    <t>Fir</t>
  </si>
  <si>
    <t>Biomes O' Plenty</t>
  </si>
  <si>
    <t>fir_tree</t>
  </si>
  <si>
    <t>mahogany_tree</t>
  </si>
  <si>
    <t>Status Choices</t>
  </si>
  <si>
    <t>Planned</t>
  </si>
  <si>
    <t>Art Done</t>
  </si>
  <si>
    <t>Registered</t>
  </si>
  <si>
    <t>In-Game</t>
  </si>
  <si>
    <t>Balanced</t>
  </si>
  <si>
    <t>Complete</t>
  </si>
  <si>
    <t>Type</t>
  </si>
  <si>
    <t>Deciduous</t>
  </si>
  <si>
    <t>Fantasy Tree?</t>
  </si>
  <si>
    <t>No</t>
  </si>
  <si>
    <t>Seed Pod</t>
  </si>
  <si>
    <t>Seed Cone</t>
  </si>
  <si>
    <t>Item</t>
  </si>
  <si>
    <t>Uses</t>
  </si>
  <si>
    <t>Obtained By</t>
  </si>
  <si>
    <t>Mahogany Seeds</t>
  </si>
  <si>
    <t>1 Mahogany Seed Pod</t>
  </si>
  <si>
    <t>6 Mahogany Seeds</t>
  </si>
  <si>
    <t>1 Fir Cone</t>
  </si>
  <si>
    <t>Fir Seeds</t>
  </si>
  <si>
    <t>Grow Light</t>
  </si>
  <si>
    <t>Growing Pot</t>
  </si>
  <si>
    <t>Growing Tray</t>
  </si>
  <si>
    <t>grow_tray</t>
  </si>
  <si>
    <t>grow_light</t>
  </si>
  <si>
    <t>grow_pot</t>
  </si>
  <si>
    <t>Nursery</t>
  </si>
  <si>
    <t>Grow Seeds to Seedlings</t>
  </si>
  <si>
    <t>Helps with Growth</t>
  </si>
  <si>
    <t>Grow Seedlings to Saplings</t>
  </si>
  <si>
    <t>Crafting</t>
  </si>
  <si>
    <t>Faithful64</t>
  </si>
  <si>
    <t>Type (Items)</t>
  </si>
  <si>
    <t>Type (Trees)</t>
  </si>
  <si>
    <t>Seed</t>
  </si>
  <si>
    <t>Seedling</t>
  </si>
  <si>
    <t>Hydroponics</t>
  </si>
  <si>
    <t>Compost</t>
  </si>
  <si>
    <t>Tree Drop</t>
  </si>
  <si>
    <t>Harvest</t>
  </si>
  <si>
    <t>Harvest By-Product</t>
  </si>
  <si>
    <t>Yes</t>
  </si>
  <si>
    <t>mahogany_seed_pod</t>
  </si>
  <si>
    <t>Produces Mahogany Seeds</t>
  </si>
  <si>
    <t>Drops from Mahogany leaves; current drop chance 2%; pod recipe planned/being added</t>
  </si>
  <si>
    <t>mahogany_seeds</t>
  </si>
  <si>
    <t>6 seeds per Mahogany Seed Pod; direct leaf drop being removed</t>
  </si>
  <si>
    <t>fir_cone</t>
  </si>
  <si>
    <t>Produces Fir Seeds</t>
  </si>
  <si>
    <t>Texture complete; drop/recipe not implemented yet</t>
  </si>
  <si>
    <t>Texture complete; quantity per cone still TBD</t>
  </si>
  <si>
    <t>fir_seeds</t>
  </si>
  <si>
    <t>First nursery stage</t>
  </si>
  <si>
    <t>Exact mechanics TBD</t>
  </si>
  <si>
    <t>Later nursery stage</t>
  </si>
  <si>
    <t>Composting</t>
  </si>
  <si>
    <t>Failed Nursery seeds become Dead Seeds</t>
  </si>
  <si>
    <t>Processing</t>
  </si>
  <si>
    <t>mahogany_seedling</t>
  </si>
  <si>
    <t>Must be planted in a Grow Pot to get a Sapling</t>
  </si>
  <si>
    <t>fir_seedling</t>
  </si>
  <si>
    <t>Dead Seeds</t>
  </si>
  <si>
    <t>dead_seeds</t>
  </si>
  <si>
    <t>By-product</t>
  </si>
  <si>
    <t>Fir tree texture conversion mostly complete; fir_leaves.png still needs redo. Fir Cone leaf drop and 1 Cone → 8 Fir Seeds recipe are implemented. Sapling drop remains until nursery propagation exists.</t>
  </si>
  <si>
    <t>Mahogany Seed Pod leaf drop and 1 Pod → 6 Mahogany Seeds recipe are implemented. Loose seeds do not drop directly. Sapling drop remains until nursery propagation exists.</t>
  </si>
  <si>
    <t>8 Fir Seeds</t>
  </si>
  <si>
    <t>Cypress</t>
  </si>
  <si>
    <t>cypress_tree</t>
  </si>
  <si>
    <t>Douglas</t>
  </si>
  <si>
    <t>Leyland</t>
  </si>
  <si>
    <t>Honduran</t>
  </si>
  <si>
    <t>Tree Parts</t>
  </si>
  <si>
    <t>Wood Parts</t>
  </si>
  <si>
    <t>Construction/Crafting</t>
  </si>
  <si>
    <t>cypress_log</t>
  </si>
  <si>
    <t>cypress_wood</t>
  </si>
  <si>
    <t>cypress_planks</t>
  </si>
  <si>
    <t>stripped_cypress_log</t>
  </si>
  <si>
    <t>stripped_cypress_wood</t>
  </si>
  <si>
    <t>cypress_shelf</t>
  </si>
  <si>
    <t>Transportation</t>
  </si>
  <si>
    <t>cypress_sign</t>
  </si>
  <si>
    <t>cypress_boat</t>
  </si>
  <si>
    <t>cypress_hanging_sign</t>
  </si>
  <si>
    <t>cypress_chest_boat</t>
  </si>
  <si>
    <t>Planks texture used for Slabs, Stairs, Fences, Gates, Pressure Plates, Buttons</t>
  </si>
  <si>
    <t>Black Walnut</t>
  </si>
  <si>
    <t>Grow a Cypress Tree</t>
  </si>
  <si>
    <t>Tree Processing - New Recipes</t>
  </si>
  <si>
    <t>Cypress Seeds</t>
  </si>
  <si>
    <t>cypress_seed_pod</t>
  </si>
  <si>
    <t>cypress_seeds</t>
  </si>
  <si>
    <t>Produces Cypress Seeds</t>
  </si>
  <si>
    <t>cypress_sapling</t>
  </si>
  <si>
    <t>cypress_leaves</t>
  </si>
  <si>
    <t>fir_log</t>
  </si>
  <si>
    <t>fir_wood</t>
  </si>
  <si>
    <t>fir_planks</t>
  </si>
  <si>
    <t>fir_shelf</t>
  </si>
  <si>
    <t>fir_trapdoor</t>
  </si>
  <si>
    <t>mahogany_log</t>
  </si>
  <si>
    <t>mahogany_wood</t>
  </si>
  <si>
    <t>mahogany_planks</t>
  </si>
  <si>
    <t>mahogany_shelf</t>
  </si>
  <si>
    <t>mahogany_trapdoor</t>
  </si>
  <si>
    <t>stripped_fir_log</t>
  </si>
  <si>
    <t>stripped_fir_wood</t>
  </si>
  <si>
    <t>fir_door_top</t>
  </si>
  <si>
    <t>fir_door_bottom</t>
  </si>
  <si>
    <t>stripped_mahogany_wood</t>
  </si>
  <si>
    <t>mahogany_door_top</t>
  </si>
  <si>
    <t>mahogany_door_bottom</t>
  </si>
  <si>
    <t>fir_leaves</t>
  </si>
  <si>
    <t>mahogany_leaves</t>
  </si>
  <si>
    <t>fir_sapling</t>
  </si>
  <si>
    <t>mahogany_sapling</t>
  </si>
  <si>
    <t>cypress_seedling</t>
  </si>
  <si>
    <t>1 Cypress Seed Pod</t>
  </si>
  <si>
    <t>Crafting Parts</t>
  </si>
  <si>
    <t>Transport</t>
  </si>
  <si>
    <t>cypress_#</t>
  </si>
  <si>
    <t>Numbers 0 to 3</t>
  </si>
  <si>
    <t>Elm</t>
  </si>
  <si>
    <t>6 Cypress Seeds</t>
  </si>
  <si>
    <t>Jacaranda</t>
  </si>
  <si>
    <t>Pine</t>
  </si>
  <si>
    <t>Palm</t>
  </si>
  <si>
    <t>Redwood</t>
  </si>
  <si>
    <t>Willow</t>
  </si>
  <si>
    <t>black_walnut_tree</t>
  </si>
  <si>
    <t>Cedar</t>
  </si>
  <si>
    <t>Idea</t>
  </si>
  <si>
    <t>Olive</t>
  </si>
  <si>
    <t>Bloodwood</t>
  </si>
  <si>
    <t>Baobab</t>
  </si>
  <si>
    <t>Quebracho</t>
  </si>
  <si>
    <t>Lignum Vitae</t>
  </si>
  <si>
    <t>Giant Sequoia</t>
  </si>
  <si>
    <t>Mountain Ash</t>
  </si>
  <si>
    <t>Purpleheart</t>
  </si>
  <si>
    <t>Beech</t>
  </si>
  <si>
    <t>Sycamore</t>
  </si>
  <si>
    <t>Chestnut</t>
  </si>
  <si>
    <t>Hickory</t>
  </si>
  <si>
    <t>Hemlock</t>
  </si>
  <si>
    <t>Aspen</t>
  </si>
  <si>
    <t>Alder</t>
  </si>
  <si>
    <t>Sweet Crabapple Tree</t>
  </si>
  <si>
    <t>Sugar Maple Tree</t>
  </si>
  <si>
    <t>Coconut Palm</t>
  </si>
  <si>
    <t>Cacao Tree</t>
  </si>
  <si>
    <t>Pacific Yew Tree</t>
  </si>
  <si>
    <t>Jabuticaba Tree</t>
  </si>
  <si>
    <t>Walking Palm</t>
  </si>
  <si>
    <t>Wollemi Pine</t>
  </si>
  <si>
    <t>Scientific Name</t>
  </si>
  <si>
    <t>Variant Group</t>
  </si>
  <si>
    <t>Foliage Habit</t>
  </si>
  <si>
    <t>Role</t>
  </si>
  <si>
    <t>Climate / Biome</t>
  </si>
  <si>
    <t>Rarity</t>
  </si>
  <si>
    <t>Resources</t>
  </si>
  <si>
    <t>Bark, Seed Pod</t>
  </si>
  <si>
    <t>Special Feature</t>
  </si>
  <si>
    <t>Expansion / Home</t>
  </si>
  <si>
    <t>Tree Details</t>
  </si>
  <si>
    <t>Minecraft Details</t>
  </si>
  <si>
    <t>Tree Name</t>
  </si>
  <si>
    <t>In-Game Name</t>
  </si>
  <si>
    <t>Dragon’s Blood</t>
  </si>
  <si>
    <t>Rubber</t>
  </si>
  <si>
    <t>Walnut</t>
  </si>
  <si>
    <t>Almond</t>
  </si>
  <si>
    <t>Cacao</t>
  </si>
  <si>
    <t>Cinnamon</t>
  </si>
  <si>
    <t>Yew</t>
  </si>
  <si>
    <t>Pacific</t>
  </si>
  <si>
    <t>Jabuticaba</t>
  </si>
  <si>
    <t>Apple</t>
  </si>
  <si>
    <t>Broadleaf</t>
  </si>
  <si>
    <t>Conifer</t>
  </si>
  <si>
    <t>Tree-like Monocot</t>
  </si>
  <si>
    <t>Cycad</t>
  </si>
  <si>
    <t>Bamboo</t>
  </si>
  <si>
    <t>Giant Herb</t>
  </si>
  <si>
    <t>Sequoia</t>
  </si>
  <si>
    <t>Evergreen</t>
  </si>
  <si>
    <t>Semi-evergreen</t>
  </si>
  <si>
    <t>Eastern</t>
  </si>
  <si>
    <t>Juglans nigra</t>
  </si>
  <si>
    <t>Resource</t>
  </si>
  <si>
    <t>Landmark</t>
  </si>
  <si>
    <t>Specialty</t>
  </si>
  <si>
    <t>Common</t>
  </si>
  <si>
    <t>Uncommon</t>
  </si>
  <si>
    <t>Rare</t>
  </si>
  <si>
    <t>Very Rare</t>
  </si>
  <si>
    <t>Extremely Rare</t>
  </si>
  <si>
    <t>Legendary</t>
  </si>
  <si>
    <t>Small</t>
  </si>
  <si>
    <t>Medium</t>
  </si>
  <si>
    <t>Large</t>
  </si>
  <si>
    <t>Giant</t>
  </si>
  <si>
    <t>Multi-trunk</t>
  </si>
  <si>
    <t>Base Treet</t>
  </si>
  <si>
    <t>Fruity Fun "DLC"</t>
  </si>
  <si>
    <t>Unnamed Expansion</t>
  </si>
  <si>
    <t>Variant / Subspecies</t>
  </si>
  <si>
    <t>Size</t>
  </si>
  <si>
    <t>Growth Form</t>
  </si>
  <si>
    <t>Stilt-rooted</t>
  </si>
  <si>
    <t>Straight trunk</t>
  </si>
  <si>
    <t>Curved trunk</t>
  </si>
  <si>
    <t>White Walnut</t>
  </si>
  <si>
    <t>Juglans cinerea</t>
  </si>
  <si>
    <t>Heartnut</t>
  </si>
  <si>
    <t>Pink Ivory</t>
  </si>
  <si>
    <t>Phyllogeiton zeyheri</t>
  </si>
  <si>
    <t>Blue Mahoe</t>
  </si>
  <si>
    <t>Dalbergia melanoxylon</t>
  </si>
  <si>
    <t>Acer negundo</t>
  </si>
  <si>
    <t>Cupressus × leylandii</t>
  </si>
  <si>
    <t>Fast Growing</t>
  </si>
  <si>
    <t>Temperate Forests / River Valleys</t>
  </si>
  <si>
    <t>Bark, Black Walnut</t>
  </si>
  <si>
    <t>Bark, Heartnut</t>
  </si>
  <si>
    <t>Juglone</t>
  </si>
  <si>
    <t>Black Walnut Tree</t>
  </si>
  <si>
    <t>Black walnut naturally produces juglone in its roots, bark, leaves and nut husks, which can suppress susceptible plants around it.</t>
  </si>
  <si>
    <t>Cool Temperate Forest / Streambanks</t>
  </si>
  <si>
    <t>Bark, Butternut</t>
  </si>
  <si>
    <t>Cold-hardy walnut; sweet oily nuts</t>
  </si>
  <si>
    <t>White Walnut Tree</t>
  </si>
  <si>
    <t>white_walnut_tree</t>
  </si>
  <si>
    <t>Temperate Forests / Fertile Lowlands</t>
  </si>
  <si>
    <t>Heart-shaped nuts</t>
  </si>
  <si>
    <t>Heartnut Tree</t>
  </si>
  <si>
    <t>heartnut_tree</t>
  </si>
  <si>
    <t>distinctive heart-shaped nuts, which also tend to split cleanly at the seam when cracked.</t>
  </si>
  <si>
    <t>Also used for horticulture because it is fast growing. Pods give five seeds.</t>
  </si>
  <si>
    <t>Cordiformis</t>
  </si>
  <si>
    <t>American</t>
  </si>
  <si>
    <t>Ulmus americana</t>
  </si>
  <si>
    <t>american_elm_tree</t>
  </si>
  <si>
    <t>Temperate Forest / Floodplain</t>
  </si>
  <si>
    <t>Vase-shaped</t>
  </si>
  <si>
    <t>Bark, Elm Samara</t>
  </si>
  <si>
    <t>Vase-shaped canopy</t>
  </si>
  <si>
    <t>American Elm Tree</t>
  </si>
  <si>
    <t>Native to eastern North America; historically common, but heavily affected by Dutch elm disease.</t>
  </si>
  <si>
    <t>Leyland Cypress Tree</t>
  </si>
  <si>
    <t>Eastern White</t>
  </si>
  <si>
    <t>Thuja occidentalis</t>
  </si>
  <si>
    <t>Cool Temperate Forest / Wetland</t>
  </si>
  <si>
    <t>Narrow conical</t>
  </si>
  <si>
    <t>Bark, Seed Cone</t>
  </si>
  <si>
    <t>Rot-resistant wood</t>
  </si>
  <si>
    <t>Eastern White Cedar Tree</t>
  </si>
  <si>
    <t>eastern_white_cedar_tree</t>
  </si>
  <si>
    <t>Also called Northern White Cedar; commonly associated with swamps, seeps and rocky/cliff habitats.</t>
  </si>
  <si>
    <t>European / Cultivated</t>
  </si>
  <si>
    <t>Mediterranean / Dry Subtropical</t>
  </si>
  <si>
    <t>Gnarled trunk</t>
  </si>
  <si>
    <t>Bark, Olives</t>
  </si>
  <si>
    <t>Bark, Chestnuts</t>
  </si>
  <si>
    <t>Olives -&gt; Olive Oil</t>
  </si>
  <si>
    <t>European Olive Tree</t>
  </si>
  <si>
    <t>european_olive_tree</t>
  </si>
  <si>
    <t>Cultivated Mediterranean olive; numerous cultivars exist</t>
  </si>
  <si>
    <t>Cottonwood</t>
  </si>
  <si>
    <t>Populus deltoides</t>
  </si>
  <si>
    <t>Temperate Floodplain / Riverbank</t>
  </si>
  <si>
    <t>Tall trunk</t>
  </si>
  <si>
    <t>Bark, Cottonwood Seeds</t>
  </si>
  <si>
    <t>Extremely fast growth / cotton-like seed fluff</t>
  </si>
  <si>
    <t>Eastern Cottonwood Tree</t>
  </si>
  <si>
    <t>eastern_cottonwood_tree</t>
  </si>
  <si>
    <t>Fast-growing riparian tree; one of the largest eastern hardwoods.</t>
  </si>
  <si>
    <t>African</t>
  </si>
  <si>
    <t>Pterocarpus angolensis</t>
  </si>
  <si>
    <t>Warm Savanna / Woodland</t>
  </si>
  <si>
    <t>Spreading / flat-topped</t>
  </si>
  <si>
    <t>Bark, Blood Resin, Bloodwood Pod</t>
  </si>
  <si>
    <t>Produces vivid red sap when wounded</t>
  </si>
  <si>
    <t>African Bloodwood Tree</t>
  </si>
  <si>
    <t>african_bloodwood_tree</t>
  </si>
  <si>
    <t>Valuable reddish-brown hardwood; also called kiaat or wild teak.</t>
  </si>
  <si>
    <t>Socotra</t>
  </si>
  <si>
    <t>Dracaena cinnabari</t>
  </si>
  <si>
    <t>Dragon Tree</t>
  </si>
  <si>
    <t>Arid Highland / Dry Shrubland</t>
  </si>
  <si>
    <t>Umbrella-shaped</t>
  </si>
  <si>
    <t>Bark, Dragon’s Blood Resin, Berries</t>
  </si>
  <si>
    <t>Produces deep-red resin when wounded</t>
  </si>
  <si>
    <t>Socotra Dragon’s Blood Tree</t>
  </si>
  <si>
    <t>socotra_dragons_blood_tree</t>
  </si>
  <si>
    <t>Endemic to Socotra; highly distinctive umbrella canopy; vulnerable species.</t>
  </si>
  <si>
    <t>Adansonia digitata</t>
  </si>
  <si>
    <t>Seasonally Dry Tropical / Savanna</t>
  </si>
  <si>
    <t>Bark Fibre, Baobab Fruit</t>
  </si>
  <si>
    <t>Massive swollen trunk</t>
  </si>
  <si>
    <t>Bark regenerates after harvesting</t>
  </si>
  <si>
    <t>African Baobab Tree</t>
  </si>
  <si>
    <t>african_baobab_tree</t>
  </si>
  <si>
    <t>Iconic “upside-down tree”; enormous trunk; edible fruit, seeds and leaves.</t>
  </si>
  <si>
    <t>Rainbow</t>
  </si>
  <si>
    <t>Eucalyptus</t>
  </si>
  <si>
    <t>Eucalyptus deglupta</t>
  </si>
  <si>
    <t>Tropical Rainforest / Humid Tropical</t>
  </si>
  <si>
    <t>Bark, Gumnut</t>
  </si>
  <si>
    <t>Peeling bark reveals vivid rainbow colours</t>
  </si>
  <si>
    <t>Rainbow Eucalyptus Tree</t>
  </si>
  <si>
    <t>rainbow_eucalyptus_tree</t>
  </si>
  <si>
    <t>Famous for multicoloured bark; one of the few eucalyptus species naturally occurring outside Australia.</t>
  </si>
  <si>
    <t>Sandbox</t>
  </si>
  <si>
    <t>Hura crepitans</t>
  </si>
  <si>
    <t>Hura</t>
  </si>
  <si>
    <t>Wood, Latex, Sandbox Fruit</t>
  </si>
  <si>
    <t>Explosive seed pods / toxic sap / spiny trunk</t>
  </si>
  <si>
    <t>Sandbox Tree</t>
  </si>
  <si>
    <t>sandbox_tree</t>
  </si>
  <si>
    <t>Also called Dynamite Tree and Monkey-No-Climb; ripe fruit explosively disperses seeds.</t>
  </si>
  <si>
    <t>Red</t>
  </si>
  <si>
    <t>Schinopsis lorentzii</t>
  </si>
  <si>
    <t>Subtropical Dry Forest / Gran Chaco</t>
  </si>
  <si>
    <t>Bark, Quebracho Wood, Tannin</t>
  </si>
  <si>
    <t>Axe-breaker — exceptionally hard wood</t>
  </si>
  <si>
    <t>Extremely dense, durable South American hardwood; historically important source of tannin.</t>
  </si>
  <si>
    <t>Roughbark</t>
  </si>
  <si>
    <t>Guaiacum officinale</t>
  </si>
  <si>
    <t>Tropical Dry Forest / Coastal</t>
  </si>
  <si>
    <t>Dense rounded crown / often multi-trunk</t>
  </si>
  <si>
    <t>Bark, Guaiac Resin, Lignum Vitae Fruit</t>
  </si>
  <si>
    <t>Extremely dense, naturally self-lubricating wood</t>
  </si>
  <si>
    <t>Roughbark Lignum Vitae Tree</t>
  </si>
  <si>
    <t>roughbark_lignum_vitae_tree</t>
  </si>
  <si>
    <t>Very slow-growing; exceptionally hard and durable wood; blue-purple flowers; endangered in the wild.</t>
  </si>
  <si>
    <t>Sequoiadendron giganteum</t>
  </si>
  <si>
    <t>Crabapple</t>
  </si>
  <si>
    <t>Mahoe</t>
  </si>
  <si>
    <t>Montane Conifer Forest / Sierra Nevada</t>
  </si>
  <si>
    <t>Fire-resistant bark / fire-assisted regeneration</t>
  </si>
  <si>
    <t>Bark, Giant Sequoia Cone</t>
  </si>
  <si>
    <t>Giant Sequoia Tree</t>
  </si>
  <si>
    <t>giant_sequoia_tree</t>
  </si>
  <si>
    <t>Native to scattered groves on the western Sierra Nevada; among the largest trees on Earth by volume.</t>
  </si>
  <si>
    <t>Sorbus americana</t>
  </si>
  <si>
    <t>Rowan</t>
  </si>
  <si>
    <t>Cool Temperate / Montane Forest</t>
  </si>
  <si>
    <t>Short trunk</t>
  </si>
  <si>
    <t>Bark, Mountain Ash Berries</t>
  </si>
  <si>
    <t>Persistent red-orange berry clusters</t>
  </si>
  <si>
    <t>American Mountain Ash Tree</t>
  </si>
  <si>
    <t>american_mountain_ash_tree</t>
  </si>
  <si>
    <t>Also called American Rowan; not a true ash; favours cool, moist mountain habitats.</t>
  </si>
  <si>
    <t>Nazareno</t>
  </si>
  <si>
    <t>Peltogyne purpurea</t>
  </si>
  <si>
    <t>Bark, Purpleheart Pod</t>
  </si>
  <si>
    <t>Heartwood turns vivid purple after exposure to air and light</t>
  </si>
  <si>
    <t>Purpleheart Tree</t>
  </si>
  <si>
    <t>purpleheart_tree</t>
  </si>
  <si>
    <t>Dense tropical hardwood; fresh-cut heartwood darkens into its characteristic purple colour.</t>
  </si>
  <si>
    <t>Fagus grandifolia</t>
  </si>
  <si>
    <t>Temperate Deciduous Forest</t>
  </si>
  <si>
    <t>Bark, Beechnuts</t>
  </si>
  <si>
    <t>Smooth grey bark / produces wildlife-rich mast crops</t>
  </si>
  <si>
    <t>American Beech Tree</t>
  </si>
  <si>
    <t>american_beech_tree</t>
  </si>
  <si>
    <t>Slow-growing, long-lived and highly shade tolerant; native across eastern North America.</t>
  </si>
  <si>
    <t>Platanus occidentalis</t>
  </si>
  <si>
    <t>Massive trunk</t>
  </si>
  <si>
    <t>Bark, Sycamore Seed Ball</t>
  </si>
  <si>
    <t>Mottled exfoliating bark / very fast growth</t>
  </si>
  <si>
    <t>One of the largest eastern deciduous trees; also called American planetree, buttonwood and buttonball-tree.</t>
  </si>
  <si>
    <t>Castanea dentata</t>
  </si>
  <si>
    <t>Temperate Deciduous Forest / Upland Forest</t>
  </si>
  <si>
    <t>Edible nuts / blight-sensitive</t>
  </si>
  <si>
    <t>American Chestnut Tree</t>
  </si>
  <si>
    <t>american_chestnut_tree</t>
  </si>
  <si>
    <t>Formerly a dominant eastern North American hardwood; devastated by chestnut blight.</t>
  </si>
  <si>
    <t>Shagbark</t>
  </si>
  <si>
    <t>Carya ovata</t>
  </si>
  <si>
    <t>Temperate Deciduous Forest / Upland &amp; Moist Valleys</t>
  </si>
  <si>
    <t>Bark, Hickory Nuts</t>
  </si>
  <si>
    <t>Shaggy peeling bark / extremely tough, shock-resistant wood</t>
  </si>
  <si>
    <t>Shagbark Hickory Tree</t>
  </si>
  <si>
    <t>shagbark_hickory_tree</t>
  </si>
  <si>
    <t>Distinctive mature bark peels away in long vertical strips; edible sweet nuts; traditional tool-handle and smoking wood.</t>
  </si>
  <si>
    <t>Tsuga canadensis</t>
  </si>
  <si>
    <t>Cool Temperate Forest / Moist Ravines</t>
  </si>
  <si>
    <t>Tall conical</t>
  </si>
  <si>
    <t>Bark, Hemlock Cones</t>
  </si>
  <si>
    <t>Extreme shade tolerance / thrives on decaying wood seedbeds</t>
  </si>
  <si>
    <t>Eastern Hemlock Tree</t>
  </si>
  <si>
    <t>eastern_hemlock_tree</t>
  </si>
  <si>
    <t>Very long-lived; historically harvested for tannin-rich bark; important winter wildlife cover.</t>
  </si>
  <si>
    <t>Quaking</t>
  </si>
  <si>
    <t>Populus tremuloides</t>
  </si>
  <si>
    <t>Boreal / Cool Temperate Forest</t>
  </si>
  <si>
    <t>Bark, Aspen Seed Capsules</t>
  </si>
  <si>
    <t>Clonal root network / spreads through root suckers</t>
  </si>
  <si>
    <t>Quaking Aspen Tree</t>
  </si>
  <si>
    <t>quaking_aspen_tree</t>
  </si>
  <si>
    <t>Fast-growing pioneer tree; leaves visibly tremble in light wind; often forms large interconnected colonies.</t>
  </si>
  <si>
    <t>Bark, Fir Cone</t>
  </si>
  <si>
    <t>Douglas Fir Tree</t>
  </si>
  <si>
    <t>Honduran Mahogany Tree</t>
  </si>
  <si>
    <t>Alnus rubra</t>
  </si>
  <si>
    <t>Cool Temperate / Riparian Forest</t>
  </si>
  <si>
    <t>Bark, Alder Cones</t>
  </si>
  <si>
    <t>Nitrogen-fixing roots enrich surrounding soil</t>
  </si>
  <si>
    <t>Red Alder Tree</t>
  </si>
  <si>
    <t>red_alder_tree</t>
  </si>
  <si>
    <t>Fast-growing pioneer hardwood; favours moist soils and riparian areas.</t>
  </si>
  <si>
    <t>Basswood</t>
  </si>
  <si>
    <t>Temperate Deciduous Forest / Rich Moist Uplands</t>
  </si>
  <si>
    <t>Bark Fibre, Basswood Fruit</t>
  </si>
  <si>
    <t>Honey tree — flowers strongly attract pollinators</t>
  </si>
  <si>
    <t>American Basswood Tree</t>
  </si>
  <si>
    <t>american_basswood_tree</t>
  </si>
  <si>
    <t>Soft lightweight carving wood; vigorous stump sprouter; untreated wood decays quickly.</t>
  </si>
  <si>
    <t>Malus domestica 'McIntosh'</t>
  </si>
  <si>
    <t>Malus domestica 'Honeycrisp'</t>
  </si>
  <si>
    <t>Malus domestica 'Granny Smith'</t>
  </si>
  <si>
    <t>Cool Temperate / Orchard</t>
  </si>
  <si>
    <t>Warm Temperate / Orchard</t>
  </si>
  <si>
    <t>Rounded / spreading</t>
  </si>
  <si>
    <t>Spreading branched</t>
  </si>
  <si>
    <t>McIntosh Apples</t>
  </si>
  <si>
    <t>Honeycrisp Apples</t>
  </si>
  <si>
    <t>Granny Smith Apples</t>
  </si>
  <si>
    <t>Excellent cold hardiness</t>
  </si>
  <si>
    <t>Exceptional crispness / cold hardy</t>
  </si>
  <si>
    <t>Late-season tart apple</t>
  </si>
  <si>
    <t>McIntosh Apple Tree</t>
  </si>
  <si>
    <t>Honeycrisp Apple Tree</t>
  </si>
  <si>
    <t>Granny Smith Apple Tree</t>
  </si>
  <si>
    <t>mcintosh_apple_tree</t>
  </si>
  <si>
    <t>honeycrisp_apple_tree</t>
  </si>
  <si>
    <t>granny_smith_apple_tree</t>
  </si>
  <si>
    <t>Cold-hardy Canadian classic</t>
  </si>
  <si>
    <t>Sweet-tart, extremely crisp fruit</t>
  </si>
  <si>
    <t>Green-skinned tart cultivar; prefers warmer conditions</t>
  </si>
  <si>
    <t>Malus coronaria</t>
  </si>
  <si>
    <t>Sweet</t>
  </si>
  <si>
    <t>Sugar</t>
  </si>
  <si>
    <t>Temperate Deciduous Forest / Woodland Edge</t>
  </si>
  <si>
    <t>Sweet Crabapples</t>
  </si>
  <si>
    <t>Highly fragrant blossoms / native wild apple</t>
  </si>
  <si>
    <t>sweet_crabapple_tree</t>
  </si>
  <si>
    <t>Native eastern North American crabapple; despite the name, the fruit is sour — “sweet” refers mainly to its fragrance.</t>
  </si>
  <si>
    <t>Pará</t>
  </si>
  <si>
    <t>Hevea brasiliensis</t>
  </si>
  <si>
    <t>Straight cylindrical</t>
  </si>
  <si>
    <t>Latex, Rubberwood, Rubber Seeds</t>
  </si>
  <si>
    <t>Tappable latex used to produce natural rubber</t>
  </si>
  <si>
    <t>Pará Rubber Tree</t>
  </si>
  <si>
    <t>para_rubber_tree</t>
  </si>
  <si>
    <t>Native to tropical South America; latex is sustainably harvested by tapping the bark.</t>
  </si>
  <si>
    <t>Acer saccharum</t>
  </si>
  <si>
    <t>Cool Temperate / Deciduous Forest</t>
  </si>
  <si>
    <t>Bark, Maple Samaras, Maple Sap</t>
  </si>
  <si>
    <t>Sap can be tapped and processed into maple syrup</t>
  </si>
  <si>
    <t>sugar_maple_tree</t>
  </si>
  <si>
    <t>Major eastern North American hardwood; exceptional autumn colour; also called hard or rock maple.</t>
  </si>
  <si>
    <t>Prunus amygdalus</t>
  </si>
  <si>
    <t>Mediterranean / Warm Temperate</t>
  </si>
  <si>
    <t>Almond Fruit, Almonds</t>
  </si>
  <si>
    <t>Edible seed crop / early spring blossoms</t>
  </si>
  <si>
    <t>Sweet Almond Tree</t>
  </si>
  <si>
    <t>sweet_almond_tree</t>
  </si>
  <si>
    <t>Cultivated food tree; the edible almond is the seed inside a drupe rather than a true botanical nut.</t>
  </si>
  <si>
    <t>Cocos nucifera</t>
  </si>
  <si>
    <t>Tropical Coast / Humid Tropical</t>
  </si>
  <si>
    <t>Coconuts, Coir, Palm Fronds</t>
  </si>
  <si>
    <t>Floating fruit enables ocean dispersal / highly salt-tolerant coastal tree</t>
  </si>
  <si>
    <t>coconut_palm</t>
  </si>
  <si>
    <t>Major multipurpose tropical crop; food, fibre and other resources can all come from the fruit.</t>
  </si>
  <si>
    <t>Coast</t>
  </si>
  <si>
    <t>Sequoia sempervirens</t>
  </si>
  <si>
    <t>Some of the tallest trees in the world</t>
  </si>
  <si>
    <t>Coast Redwood Tree</t>
  </si>
  <si>
    <t>redwood_tree</t>
  </si>
  <si>
    <t>Bark, Redwood Cone</t>
  </si>
  <si>
    <t>Bark, Sky Fruit</t>
  </si>
  <si>
    <t>Common names that refer to Sequoia sempervirens alone include "California redwood", "coastal redwood", "coastal sequoia", and "coast redwood".</t>
  </si>
  <si>
    <t>Pacific Coast</t>
  </si>
  <si>
    <t>Theobroma cacao</t>
  </si>
  <si>
    <t>small understory</t>
  </si>
  <si>
    <t>Cacao Pods, Cacao Beans</t>
  </si>
  <si>
    <t>Cauliflory — flowers and pods grow directly from the trunk and branches</t>
  </si>
  <si>
    <t>cacao_tree</t>
  </si>
  <si>
    <t>Source of chocolate; beans are fermented and dried before processing. Pollinated by tiny flies/midges.</t>
  </si>
  <si>
    <t>Ceylon</t>
  </si>
  <si>
    <t>Cinnamomum verum</t>
  </si>
  <si>
    <t>Wet Tropical / Tropical Forest</t>
  </si>
  <si>
    <t>Multi-stemmed / dense rounded crown</t>
  </si>
  <si>
    <t>Cinnamon Bark, Cinnamon Leaves, Cinnamon Berries</t>
  </si>
  <si>
    <t>Harvestable aromatic inner bark / vigorous regrowth after cutting</t>
  </si>
  <si>
    <t>Ceylon Cinnamon Tree</t>
  </si>
  <si>
    <t>ceylon_cinnamon_tree</t>
  </si>
  <si>
    <t>True cinnamon; harvested inner bark forms cinnamon quills when dried.</t>
  </si>
  <si>
    <t>Taxus brevifolia</t>
  </si>
  <si>
    <t>Cool Temperate / Moist Conifer Forest</t>
  </si>
  <si>
    <t>Small understory tree / irregular narrow crown</t>
  </si>
  <si>
    <t>Bark, Yew Arils</t>
  </si>
  <si>
    <t>Extreme shade tolerance / medicinal bark source</t>
  </si>
  <si>
    <t>pacific_yew_tree</t>
  </si>
  <si>
    <t>Plinia cauliflora</t>
  </si>
  <si>
    <t>Tropical / Subtropical Forest</t>
  </si>
  <si>
    <t>Multi-branched / dense rounded crown</t>
  </si>
  <si>
    <t>Jabuticaba Fruit</t>
  </si>
  <si>
    <t>Cauliflory — fruit grows directly from trunk and major branches</t>
  </si>
  <si>
    <t>jabuticaba_tree</t>
  </si>
  <si>
    <t>Also called Brazilian Grape Tree; slow-growing; edible dark-purple fruit with sweet white pulp; attractive peeling bark.</t>
  </si>
  <si>
    <t>Camwood</t>
  </si>
  <si>
    <t>Yellowheart</t>
  </si>
  <si>
    <t>Osage Orange</t>
  </si>
  <si>
    <t>Canarywood</t>
  </si>
  <si>
    <t>Argentine</t>
  </si>
  <si>
    <t>Sumac</t>
  </si>
  <si>
    <t>Wenge</t>
  </si>
  <si>
    <t>Ebony</t>
  </si>
  <si>
    <t>Snakewood</t>
  </si>
  <si>
    <t>Socratea exorrhiza</t>
  </si>
  <si>
    <t>Slender trunk / crown of palm fronds / elevated on stilt roots</t>
  </si>
  <si>
    <t>Palm Fruit, Palm Fronds</t>
  </si>
  <si>
    <t>Prominent stilt roots / “walking” reputation</t>
  </si>
  <si>
    <t>walking_palm</t>
  </si>
  <si>
    <t>Wet tropical palm of Central and South America; famous for its dramatic stilt roots.</t>
  </si>
  <si>
    <t>Wollemia nobilis</t>
  </si>
  <si>
    <t>Subtropical Rainforest / Sheltered Gorge</t>
  </si>
  <si>
    <t>Straight trunk / narrow crown / often multi-stemmed</t>
  </si>
  <si>
    <t>Bark, Wollemi Cones</t>
  </si>
  <si>
    <t>Ancient “dinosaur tree” / distinctive bubbly bark</t>
  </si>
  <si>
    <t>wollemi_pine</t>
  </si>
  <si>
    <t>Extremely rare Australian conifer discovered in 1994; fewer than 100 mature trees remain in the wild.</t>
  </si>
  <si>
    <t>Ivorywood</t>
  </si>
  <si>
    <t>Subtropical Woodland / Bushveld</t>
  </si>
  <si>
    <t>Straight trunk / dense rounded crown</t>
  </si>
  <si>
    <t>Pink Ivory Timber, Pink Ivory Fruit, Bark</t>
  </si>
  <si>
    <t>Extremely hard pink-to-red heartwood</t>
  </si>
  <si>
    <t>Pink Ivory Tree</t>
  </si>
  <si>
    <t>pink_ivory_tree</t>
  </si>
  <si>
    <t>Also widely known as Berchemia zeyheri or Red Ivorywood; valuable southern African hardwood with edible sweet fruit.</t>
  </si>
  <si>
    <t>Talipariti elatum</t>
  </si>
  <si>
    <t>Blackwood</t>
  </si>
  <si>
    <t>Tropical / Subtropical Moist Forest</t>
  </si>
  <si>
    <t>Straight trunk / broad rounded crown</t>
  </si>
  <si>
    <t>Blue Mahoe Timber, Bark</t>
  </si>
  <si>
    <t>Blue-green streaked wood / flowers change colour with age</t>
  </si>
  <si>
    <t>Blue Mahoe Tree</t>
  </si>
  <si>
    <t>blue_mahoe_tree</t>
  </si>
  <si>
    <t>National tree of Jamaica; also known as Hibiscus elatus; valued for decorative timber with blue-green streaking.</t>
  </si>
  <si>
    <t>Dry Tropical Woodland / Savanna</t>
  </si>
  <si>
    <t>Multi-stemmed / heavily branched / irregular crown</t>
  </si>
  <si>
    <t>African Blackwood Timber, Seed Pods</t>
  </si>
  <si>
    <t>Exceptionally dense, near-black heartwood prized for musical instruments</t>
  </si>
  <si>
    <t>African Blackwood Tree</t>
  </si>
  <si>
    <t>african_blackwood_tree</t>
  </si>
  <si>
    <t>Also called mpingo or grenadilla; extremely slow-growing hardwood used especially for woodwind instruments. Not a true ebony.</t>
  </si>
  <si>
    <t>Short trunk / irregular spreading crown</t>
  </si>
  <si>
    <t>Bark, Boxelder Samaras, Maple Sap</t>
  </si>
  <si>
    <t>Compound leaves unusual among maples / fast-growing pioneer</t>
  </si>
  <si>
    <t>Boxelder Maple Tree</t>
  </si>
  <si>
    <t>boxelder_maple_tree</t>
  </si>
  <si>
    <t>Also called Manitoba Maple and Ash-leaved Maple; widespread North American maple commonly associated with floodplains and river margins.</t>
  </si>
  <si>
    <t>willow_tree</t>
  </si>
  <si>
    <t>umbran_tree</t>
  </si>
  <si>
    <t>pine_tree</t>
  </si>
  <si>
    <t>palm_tree</t>
  </si>
  <si>
    <t>magic_tree</t>
  </si>
  <si>
    <t>jacaranda_tree</t>
  </si>
  <si>
    <t>hellbark_tree</t>
  </si>
  <si>
    <t>empyreal_tree</t>
  </si>
  <si>
    <t>Staghorn</t>
  </si>
  <si>
    <t>Gaboon</t>
  </si>
  <si>
    <t>Baphia nitida</t>
  </si>
  <si>
    <t>Wet Tropical Forest / Forest Edge</t>
  </si>
  <si>
    <t>Multi-stemmed / small understory crown</t>
  </si>
  <si>
    <t>Camwood Timber, Bark, Seed Pods</t>
  </si>
  <si>
    <t>Heartwood and bark produce a vivid red dye</t>
  </si>
  <si>
    <t>Camwood Tree</t>
  </si>
  <si>
    <t>camwood_tree</t>
  </si>
  <si>
    <t>West and West-Central African understory tree; also called barwood; historically important source of red dye.</t>
  </si>
  <si>
    <t>Euxylophora paraensis</t>
  </si>
  <si>
    <t>Wet Tropical Rainforest</t>
  </si>
  <si>
    <t>Tall straight trunk / high crown</t>
  </si>
  <si>
    <t>Yellowheart Timber</t>
  </si>
  <si>
    <t>Naturally vivid golden-yellow heartwood</t>
  </si>
  <si>
    <t>Yellowheart Tree</t>
  </si>
  <si>
    <t>yellowheart_tree</t>
  </si>
  <si>
    <t>Also called Pau Amarello; large South American rainforest hardwood with unusually persistent yellow coloration.</t>
  </si>
  <si>
    <t>Maclura pomifera</t>
  </si>
  <si>
    <t>Resource / Ecological</t>
  </si>
  <si>
    <t>Temperate Woodland / Prairie Edge</t>
  </si>
  <si>
    <t>Short trunk / rounded spreading thorny crown</t>
  </si>
  <si>
    <t>Osage Orange Timber, Hedge Apples</t>
  </si>
  <si>
    <t>Extremely decay-resistant yellow-orange wood</t>
  </si>
  <si>
    <t>Osage Orange Tree</t>
  </si>
  <si>
    <t>osage_orange_tree</t>
  </si>
  <si>
    <t>Also called Hedge Apple and Bois d'Arc; historically planted as living hedges and prized for durable bow wood.</t>
  </si>
  <si>
    <t>Centrolobium microchaete</t>
  </si>
  <si>
    <t>Semi-deciduous</t>
  </si>
  <si>
    <t>Seasonally Dry Tropical Forest</t>
  </si>
  <si>
    <t>Straight trunk / small rounded crown / buttressed base</t>
  </si>
  <si>
    <t>Canarywood Timber, Winged Samaras</t>
  </si>
  <si>
    <t>Yellow-orange heartwood with red-brown and darker streaks</t>
  </si>
  <si>
    <t>Canarywood Tree</t>
  </si>
  <si>
    <t>canarywood_tree</t>
  </si>
  <si>
    <t>Representative Canarywood species selected for Treet; the timber trade applies Canarywood to several Centrolobium species.</t>
  </si>
  <si>
    <t>Plectrocarpa sarmientoi</t>
  </si>
  <si>
    <t>Resource / Industrial</t>
  </si>
  <si>
    <t>Seasonally Dry Tropical / Gran Chaco</t>
  </si>
  <si>
    <t>Slow-growing trunk / dense rounded crown</t>
  </si>
  <si>
    <t>Argentine Lignum Vitae Timber, Resin / Oil</t>
  </si>
  <si>
    <t>Extremely dense oily greenish heartwood with self-lubricating properties</t>
  </si>
  <si>
    <t>Argentine Lignum Vitae Tree</t>
  </si>
  <si>
    <t>argentine_lignum_vitae_tree</t>
  </si>
  <si>
    <t>Formerly Bulnesia sarmientoi; also called Verawood or Palo Santo; commercial substitute for genuine lignum vitae.</t>
  </si>
  <si>
    <t>Rhus typhina</t>
  </si>
  <si>
    <t>Food / Resource / Wildlife</t>
  </si>
  <si>
    <t>Temperate Woodland Edge / Disturbed Ground</t>
  </si>
  <si>
    <t>Multi-stemmed / spreading thicket</t>
  </si>
  <si>
    <t>Staghorn Sumac Fruit, Sumac Wood</t>
  </si>
  <si>
    <t>Unusual yellow-to-olive-green heartwood</t>
  </si>
  <si>
    <t>Staghorn Sumac Tree</t>
  </si>
  <si>
    <t>staghorn_sumac_tree</t>
  </si>
  <si>
    <t>Native from eastern Canada into the United States; distinctive red fruit clusters and vigorous suckering growth.</t>
  </si>
  <si>
    <t>Millettia laurentii</t>
  </si>
  <si>
    <t>Wet Tropical / Semi-deciduous Forest</t>
  </si>
  <si>
    <t>Tall bole / spreading drooping crown</t>
  </si>
  <si>
    <t>Wenge Timber, Seed Pods</t>
  </si>
  <si>
    <t>Dark brown heartwood with nearly black streaking</t>
  </si>
  <si>
    <t>Wenge Tree</t>
  </si>
  <si>
    <t>wenge_tree</t>
  </si>
  <si>
    <t>West-Central African hardwood; finished wood can appear nearly black; highly valued decorative timber.</t>
  </si>
  <si>
    <t>Diospyros crassiflora</t>
  </si>
  <si>
    <t>Wet Tropical Rainforest / Congo Basin</t>
  </si>
  <si>
    <t>Straight trunk / compact crown</t>
  </si>
  <si>
    <t>Gaboon Ebony Timber, Seeds</t>
  </si>
  <si>
    <t>Exceptionally dense near-solid-black heartwood</t>
  </si>
  <si>
    <t>Gaboon Ebony Tree</t>
  </si>
  <si>
    <t>gaboon_ebony_tree</t>
  </si>
  <si>
    <t>True African ebony; also called African, Cameroon or Nigerian Ebony; highly valued for instruments and fine decorative work.</t>
  </si>
  <si>
    <t>Brosimum guianense</t>
  </si>
  <si>
    <t>Resource / Wildlife</t>
  </si>
  <si>
    <t>Tall slender trunk / spreading crown</t>
  </si>
  <si>
    <t>Snakewood Timber, Fruit</t>
  </si>
  <si>
    <t>Dense reddish wood patterned like snakeskin</t>
  </si>
  <si>
    <t>Snakewood Tree</t>
  </si>
  <si>
    <t>snakewood_tree</t>
  </si>
  <si>
    <t>Also called Letterwood and Amourette; distinctive dark mottling creates its characteristic snakeskin pattern.</t>
  </si>
  <si>
    <t>Juglans mandshurica var. cordiformis</t>
  </si>
  <si>
    <t>Olea europaea subsp. europaea</t>
  </si>
  <si>
    <t>Red Quebracho Tree</t>
  </si>
  <si>
    <t>red_quebracho_tree</t>
  </si>
  <si>
    <t>American Sycamore Tree</t>
  </si>
  <si>
    <t>american_sycamore_tree</t>
  </si>
  <si>
    <t>Tilia americana</t>
  </si>
  <si>
    <t>McIntosh</t>
  </si>
  <si>
    <t>Honeycrisp</t>
  </si>
  <si>
    <t>Granny Smith</t>
  </si>
  <si>
    <t>Boxelder</t>
  </si>
  <si>
    <t>stripped_mahogany_log</t>
  </si>
  <si>
    <t>Bark</t>
  </si>
  <si>
    <t>Orange</t>
  </si>
  <si>
    <t>Grapefruit</t>
  </si>
  <si>
    <t>Lemon</t>
  </si>
  <si>
    <t>Lime</t>
  </si>
  <si>
    <t>Apricot</t>
  </si>
  <si>
    <t>Plum</t>
  </si>
  <si>
    <t>Avocado</t>
  </si>
  <si>
    <t>Gum Arabic</t>
  </si>
  <si>
    <t>Sapodilla</t>
  </si>
  <si>
    <t>Dried_Log</t>
  </si>
  <si>
    <t>Rotten Log</t>
  </si>
  <si>
    <t>Most vibrant colouring</t>
  </si>
  <si>
    <t>Colours change with exposure to oxygen and UV light</t>
  </si>
  <si>
    <t>Wood will rot if not treated, becoming useless for crafting.</t>
  </si>
  <si>
    <t>Colours change more as wood continues to be exposed to oxygen and UV lights</t>
  </si>
  <si>
    <t>Log Preservation</t>
  </si>
  <si>
    <t>Preserved_Log</t>
  </si>
  <si>
    <t>Logs can be preserved with resin or stains (next section)</t>
  </si>
  <si>
    <t>Weathered_Log</t>
  </si>
  <si>
    <t>Rotten_Log</t>
  </si>
  <si>
    <t>Preserved_Dried_Log</t>
  </si>
  <si>
    <t>Preserved_Weathered_Log</t>
  </si>
  <si>
    <t>Log Staining</t>
  </si>
  <si>
    <t>Stripped_Log</t>
  </si>
  <si>
    <t>Stripped_Dried_Log</t>
  </si>
  <si>
    <t>Stripped_Weathered_Log</t>
  </si>
  <si>
    <t>Stripped_Rotten_Log</t>
  </si>
  <si>
    <t>Most vibrant colouring, stripped logs weather faster.</t>
  </si>
  <si>
    <t>Preserved_Stripped_Dried_Log</t>
  </si>
  <si>
    <t>Preserved_Stripped_Weathered_Log</t>
  </si>
  <si>
    <t>Pecan</t>
  </si>
  <si>
    <t>Carya illinoinensis</t>
  </si>
  <si>
    <t>Warm Temperate / River Valleys &amp; Floodplains</t>
  </si>
  <si>
    <t>Tall straight trunk / broad spreading crown</t>
  </si>
  <si>
    <t>Pecans, Bark, Hickory Wood</t>
  </si>
  <si>
    <t>High-value edible nut crop / durable hickory wood</t>
  </si>
  <si>
    <t>Pecan Hickory Tree</t>
  </si>
  <si>
    <t>pecan_hickory_tree</t>
  </si>
  <si>
    <t>Large North American hickory cultivated for edible pecans; naturally associated with fertile bottomlands and river systems.</t>
  </si>
  <si>
    <t>Light Stained Log</t>
  </si>
  <si>
    <t>Stained Log</t>
  </si>
  <si>
    <t>Dark Stained Log</t>
  </si>
  <si>
    <t>Stained Stripped Log</t>
  </si>
  <si>
    <t>Light Stained Stripped Log</t>
  </si>
  <si>
    <t>Dark Stained Stripped Log</t>
  </si>
  <si>
    <t>Dried Log</t>
  </si>
  <si>
    <t>Stripped Dried Log</t>
  </si>
  <si>
    <t>Stripped Weathered Log</t>
  </si>
  <si>
    <t>Dark Stained Weathered Log</t>
  </si>
  <si>
    <t>Dark Stained Dried Log</t>
  </si>
  <si>
    <t>Stained Dried Log</t>
  </si>
  <si>
    <t>Light Stained Dried Log</t>
  </si>
  <si>
    <t>Light Stained Stripped Weathered Log</t>
  </si>
  <si>
    <t>Stained Stripped Weathered Log</t>
  </si>
  <si>
    <t>Dark Stained Stripped Weathered Log</t>
  </si>
  <si>
    <t>Light Stained Stripped Dried Log</t>
  </si>
  <si>
    <t>Stained Stripped Dried Log</t>
  </si>
  <si>
    <t>Dark Stained Stripped Dried Log</t>
  </si>
  <si>
    <t>It is cheaper to preserve/stain stripped logs</t>
  </si>
  <si>
    <t>Stripped Rotten Log</t>
  </si>
  <si>
    <t>Stained Weathered Log</t>
  </si>
  <si>
    <t>Light Stained Weathered Log</t>
  </si>
  <si>
    <t>Plank Crafting</t>
  </si>
  <si>
    <t>Rough Planks</t>
  </si>
  <si>
    <t>Planks</t>
  </si>
  <si>
    <t>Dried Planks</t>
  </si>
  <si>
    <t>Rough Dried Planks</t>
  </si>
  <si>
    <t>Can be used for construction and/or crafting.</t>
  </si>
  <si>
    <t>Rough Weathered Planks</t>
  </si>
  <si>
    <t>Construction only</t>
  </si>
  <si>
    <t>Can not be used, very weak</t>
  </si>
  <si>
    <t>Plank Preservation</t>
  </si>
  <si>
    <t>Weathered_Planks</t>
  </si>
  <si>
    <t>Rotten_Planks</t>
  </si>
  <si>
    <t>Preserved_Weathered_Planks</t>
  </si>
  <si>
    <t>Preserved_Dried_Planks</t>
  </si>
  <si>
    <t>Preserved_Planks</t>
  </si>
  <si>
    <t>Dried_Planks</t>
  </si>
  <si>
    <t>Dried_Rough_Planks</t>
  </si>
  <si>
    <t>Preserved_Rough_Planks</t>
  </si>
  <si>
    <t>Rough_Planks</t>
  </si>
  <si>
    <t>Preserved planks are for construction only (only can craft slabs, stairs, fences, pressure plates, buttons).  Rough variations are only usable as is (planks).</t>
  </si>
  <si>
    <t>Preserved_Dried_Rough_Planks</t>
  </si>
  <si>
    <t>Weathered_Rough_Planks</t>
  </si>
  <si>
    <t>Preserved_Weathered_Rough_Planks</t>
  </si>
  <si>
    <t>Rotten_Rough_Planks</t>
  </si>
  <si>
    <t>Plank Staining</t>
  </si>
  <si>
    <t>Planks can be stained at any point of their aging.  Staining costs more for rough planks.</t>
  </si>
  <si>
    <t>Dark Stained Rough Planks</t>
  </si>
  <si>
    <t>Stained Rough Planks</t>
  </si>
  <si>
    <t>Light_Stained_Rough_Planks</t>
  </si>
  <si>
    <t>Light_Stained_Planks</t>
  </si>
  <si>
    <t>Stained Planks</t>
  </si>
  <si>
    <t>Dark Stained Planks</t>
  </si>
  <si>
    <t>Dark Stained Dried Rough Planks</t>
  </si>
  <si>
    <t>Stained Dried Rough Planks</t>
  </si>
  <si>
    <t>Light_Stained_Dried_Rough_Planks</t>
  </si>
  <si>
    <t>Light_Stained_Dried_Planks</t>
  </si>
  <si>
    <t>Stained_Dried_Planks</t>
  </si>
  <si>
    <t>Light_Stained_Weathered_Planks</t>
  </si>
  <si>
    <t>Stained_Weathered_Planks</t>
  </si>
  <si>
    <t>Dark_Stained_Weathered_Planks</t>
  </si>
  <si>
    <t>Dark_Stained_Dried_Planks</t>
  </si>
  <si>
    <t>Light_Stained_Weathered_Rough_Planks</t>
  </si>
  <si>
    <t>Stained_Weathered_Rough_Planks</t>
  </si>
  <si>
    <t>Dark_Stained_Weathered_Rough_Planks</t>
  </si>
  <si>
    <t>Plank Painting</t>
  </si>
  <si>
    <t>[Colour]_Painted_Planks</t>
  </si>
  <si>
    <t>Rotten planks can not be painted</t>
  </si>
  <si>
    <t>Rough planks and logs cannot be painted.  The stage of planks does not change the colour of the wood (up for debate).</t>
  </si>
  <si>
    <t>Natural Log Progression</t>
  </si>
  <si>
    <t>The natural progression of logs if interrupted (left outside without being preserved/stained)</t>
  </si>
  <si>
    <t>You must use stripped logs if you need planks for crafting other items.  Otherwise you will get rough planks that can only be used as is. (possibly allow the basic building parts)</t>
  </si>
  <si>
    <t>Final Notes</t>
  </si>
  <si>
    <t>Last comments before the end of this page…haha</t>
  </si>
  <si>
    <t>- those crafting furniture, there will be an ability to stain/paint wooden furniture in this or a future mod.</t>
  </si>
  <si>
    <t>Redwood Seeds</t>
  </si>
  <si>
    <t>Jacaranda Seeds</t>
  </si>
  <si>
    <t>Tree Processing - Wood Properties</t>
  </si>
  <si>
    <t>Real-World Mechanical Data</t>
  </si>
  <si>
    <t>Processing Behaviour</t>
  </si>
  <si>
    <t>Spalting</t>
  </si>
  <si>
    <t>Finishing / Durability / Energy</t>
  </si>
  <si>
    <t>Treet Gameplay Tiers</t>
  </si>
  <si>
    <t>Notes / Research</t>
  </si>
  <si>
    <t>Wood Class</t>
  </si>
  <si>
    <t>Janka Hardness (lbf)</t>
  </si>
  <si>
    <t>Density (kg/m³)</t>
  </si>
  <si>
    <t>MOR / Strength (MPa)</t>
  </si>
  <si>
    <t>MOE / Stiffness (GPa)</t>
  </si>
  <si>
    <t>Flexibility</t>
  </si>
  <si>
    <t>Natural Rot Resistance</t>
  </si>
  <si>
    <t>Drying Speed</t>
  </si>
  <si>
    <t>Workability</t>
  </si>
  <si>
    <t>Tool / Machine Wear</t>
  </si>
  <si>
    <t>Spalts?</t>
  </si>
  <si>
    <t>Spalting Quality</t>
  </si>
  <si>
    <t>Spalting Window / Risk</t>
  </si>
  <si>
    <t>Preservative Response</t>
  </si>
  <si>
    <t>Stain Response</t>
  </si>
  <si>
    <t>Charcoal Quality</t>
  </si>
  <si>
    <t>Fuel Quality</t>
  </si>
  <si>
    <t>Outdoor Durability</t>
  </si>
  <si>
    <t>Hardness Tier</t>
  </si>
  <si>
    <t>Density Tier</t>
  </si>
  <si>
    <t>Processing Speed</t>
  </si>
  <si>
    <t>Material Behaviour / Special Notes</t>
  </si>
  <si>
    <t>Data Status</t>
  </si>
  <si>
    <t>Sources</t>
  </si>
  <si>
    <t>Needs Research</t>
  </si>
  <si>
    <t>Blue</t>
  </si>
  <si>
    <t>Jacaranda mimosifolia</t>
  </si>
  <si>
    <t>Blue Jacaranda Tree</t>
  </si>
  <si>
    <t>Bark, Jacaranda Seed Pod</t>
  </si>
  <si>
    <t>Tree Processing - Phenology &amp; Botanical Behaviour</t>
  </si>
  <si>
    <t>Annual Tree Cycle</t>
  </si>
  <si>
    <t>Reproduction / Natural Drops</t>
  </si>
  <si>
    <t>Treet Seasonal Gameplay</t>
  </si>
  <si>
    <t>Seasonal Assets / Tapping</t>
  </si>
  <si>
    <t>Climate / Region Reference</t>
  </si>
  <si>
    <t>Normal Foliage</t>
  </si>
  <si>
    <t>Flowering Period</t>
  </si>
  <si>
    <t>Seed / Fruit Development</t>
  </si>
  <si>
    <t>Seed Release / Drop</t>
  </si>
  <si>
    <t>Leaf Colour Period</t>
  </si>
  <si>
    <t>Leaf Drop / Dormancy</t>
  </si>
  <si>
    <t>Reproductive Structure</t>
  </si>
  <si>
    <t>Seed / Propagule</t>
  </si>
  <si>
    <t>Dispersal Method</t>
  </si>
  <si>
    <t>Structure Persistence</t>
  </si>
  <si>
    <t>Natural Seedfall?</t>
  </si>
  <si>
    <t>Natural Drop Frequency</t>
  </si>
  <si>
    <t>Maturity Requirement</t>
  </si>
  <si>
    <t>Gameplay Flowering Window</t>
  </si>
  <si>
    <t>Gameplay Seed-Drop Window</t>
  </si>
  <si>
    <t>Gameplay Leaf / Dormancy Behaviour</t>
  </si>
  <si>
    <t>Flowering Canopy Asset</t>
  </si>
  <si>
    <t>Other Seasonal Canopy Asset</t>
  </si>
  <si>
    <t>Falling Leaf Particle</t>
  </si>
  <si>
    <t>Blossom Particle</t>
  </si>
  <si>
    <t>Seed / Fruit Particle</t>
  </si>
  <si>
    <t>Sap / Resin Seasonality</t>
  </si>
  <si>
    <t>Phenology / Species Notes</t>
  </si>
  <si>
    <t>Seeds</t>
  </si>
  <si>
    <t>Mature Tree</t>
  </si>
  <si>
    <t>Fir cones and seeds already exist in Treet.</t>
  </si>
  <si>
    <t>Seed Pod / Fruit</t>
  </si>
  <si>
    <t>Mahogany seed pod and seed assets/drop chain already exist.</t>
  </si>
  <si>
    <t>Green</t>
  </si>
  <si>
    <t>Evergreen; species-specific seasonal changes if appropriate</t>
  </si>
  <si>
    <t>Redwood cones, seeds and falling-leaf asset already exist in Treet.</t>
  </si>
  <si>
    <t>Woody Seed Capsule</t>
  </si>
  <si>
    <t>Winged Seeds</t>
  </si>
  <si>
    <t>Wind</t>
  </si>
  <si>
    <t>Heavy purple-blue flowering stage</t>
  </si>
  <si>
    <t>Seasonal seed release</t>
  </si>
  <si>
    <t>Species-specific; not generic green → autumn → bare</t>
  </si>
  <si>
    <t>Planned flowering leaves</t>
  </si>
  <si>
    <t>Draft</t>
  </si>
  <si>
    <t>Current active tree. Normal canopy is green; flowering should create a strongly purple-blue canopy. Future goal: mature trees naturally release winged seeds during the appropriate season.</t>
  </si>
  <si>
    <t>Will need a flowering and flowered version for seasons.</t>
  </si>
  <si>
    <t>Pinus strobus</t>
  </si>
  <si>
    <t>Cool temperate forest</t>
  </si>
  <si>
    <t>Bark, Cones, Resin</t>
  </si>
  <si>
    <t>Custom foliage placer</t>
  </si>
  <si>
    <t>Soft needles in bundles of 5; distinctive layered crown</t>
  </si>
  <si>
    <t>Tall straight trunk; whorled, tiered branches; airy conical crown</t>
  </si>
  <si>
    <t>fir_#</t>
  </si>
  <si>
    <t>mahogany_#</t>
  </si>
  <si>
    <t>redwood_#</t>
  </si>
  <si>
    <t>Scenery</t>
  </si>
  <si>
    <t>N/A</t>
  </si>
  <si>
    <t>Grow a Mahogany Tree</t>
  </si>
  <si>
    <t>redwood_sapling</t>
  </si>
  <si>
    <t>Grow a Redwood Tree</t>
  </si>
  <si>
    <t>Construction / Crafting</t>
  </si>
  <si>
    <t>Fertilizer</t>
  </si>
  <si>
    <t>redwood_leaves</t>
  </si>
  <si>
    <t>redwood_log</t>
  </si>
  <si>
    <t>redwood_wood</t>
  </si>
  <si>
    <t>redwood_planks</t>
  </si>
  <si>
    <t>redwood_shelf</t>
  </si>
  <si>
    <t>redwood_trapdoor</t>
  </si>
  <si>
    <t>stripped_redwood_log</t>
  </si>
  <si>
    <t>stripped_redwood_wood</t>
  </si>
  <si>
    <t>redwood_door_top</t>
  </si>
  <si>
    <t>redwood_door_bottom</t>
  </si>
  <si>
    <t>signs\biomesoplenty_redwood</t>
  </si>
  <si>
    <t>hanging\biomesoplenty_redwood</t>
  </si>
  <si>
    <t>hanging\biomesoplenty_mahogany</t>
  </si>
  <si>
    <t>signs\biomesoplenty-mahogany</t>
  </si>
  <si>
    <t>signs\biomesoplenty_fir</t>
  </si>
  <si>
    <t>hanging\biomesoplenty_fir</t>
  </si>
  <si>
    <t>jacaranda_log</t>
  </si>
  <si>
    <t>jacaranda_wood</t>
  </si>
  <si>
    <t>jacaranda_planks</t>
  </si>
  <si>
    <t>jacaranda_shelf</t>
  </si>
  <si>
    <t>jacaranda_trapdoor</t>
  </si>
  <si>
    <t>jacaranda_leaves</t>
  </si>
  <si>
    <t>jacaranda_sapling</t>
  </si>
  <si>
    <t>stripped_jacaranda_log</t>
  </si>
  <si>
    <t>stripped_jacaranda_wood</t>
  </si>
  <si>
    <t>jacaranda_#</t>
  </si>
  <si>
    <t>Grow a Jacaranda Tree</t>
  </si>
  <si>
    <t>Still need flowering and flowered versions for Seasons.</t>
  </si>
  <si>
    <t>Will cease being a tree drop once nursery system is in place.</t>
  </si>
  <si>
    <t>fir_log_top</t>
  </si>
  <si>
    <t>stripped_fir_log_top</t>
  </si>
  <si>
    <t>Storage</t>
  </si>
  <si>
    <t>Construction</t>
  </si>
  <si>
    <t>Grow a Fir Tree</t>
  </si>
  <si>
    <t>mahogany_log_top</t>
  </si>
  <si>
    <t>stripped_mahogany_log_top</t>
  </si>
  <si>
    <t>redwood_log_top</t>
  </si>
  <si>
    <t>stripped_redwood_log_top</t>
  </si>
  <si>
    <t>jacaranda_log_top</t>
  </si>
  <si>
    <t>pine_log</t>
  </si>
  <si>
    <t>pine_wood</t>
  </si>
  <si>
    <t>stripped_pine_log</t>
  </si>
  <si>
    <t>stripped_pine_wood</t>
  </si>
  <si>
    <t>stripped_jacaranda_log_top</t>
  </si>
  <si>
    <t>jacaranda_door_top</t>
  </si>
  <si>
    <t>jacaranda_door_bottom</t>
  </si>
  <si>
    <t>pine_log_knots</t>
  </si>
  <si>
    <t>pine_log_top</t>
  </si>
  <si>
    <t>stripped_pine_log_top</t>
  </si>
  <si>
    <t>boat\jacaranda</t>
  </si>
  <si>
    <t>chest_boat\jacaranda</t>
  </si>
  <si>
    <t>boat\redwood</t>
  </si>
  <si>
    <t>chest_boat\redwood</t>
  </si>
  <si>
    <t>boat\mahogany</t>
  </si>
  <si>
    <t>chest_boat\mahogany</t>
  </si>
  <si>
    <t>chest_boat\fir</t>
  </si>
  <si>
    <t>boat\fir</t>
  </si>
  <si>
    <t>pine_planks</t>
  </si>
  <si>
    <t>pine_shelf</t>
  </si>
  <si>
    <t>pine_trapdoor</t>
  </si>
  <si>
    <t>pine_leaves</t>
  </si>
  <si>
    <t>pine_sapling</t>
  </si>
  <si>
    <t>pine_door_top</t>
  </si>
  <si>
    <t>pine_door_bottom</t>
  </si>
  <si>
    <t>pine_falling_leaves</t>
  </si>
  <si>
    <t>signs\biomesoplenty_pine</t>
  </si>
  <si>
    <t>hanging\biomesoplenty_pine</t>
  </si>
  <si>
    <t>boat\pine</t>
  </si>
  <si>
    <t>chest_boat\pine</t>
  </si>
  <si>
    <t>signs\biomesoplenty-jacaranda</t>
  </si>
  <si>
    <t>hanging\biomesoplenty-jacaranda</t>
  </si>
  <si>
    <t>Leyland Cypress Sapling</t>
  </si>
  <si>
    <t>Leyland Cypress Leaves</t>
  </si>
  <si>
    <t>Leyland Cypress Falling Leaves</t>
  </si>
  <si>
    <t>Douglas Fir Log</t>
  </si>
  <si>
    <t>Douglas Fir Log Top</t>
  </si>
  <si>
    <t>Stripped Douglas Fir Log</t>
  </si>
  <si>
    <t>Stripped Douglas Fir Log Top</t>
  </si>
  <si>
    <t>Stripped Douglas Fir Wood</t>
  </si>
  <si>
    <t>Douglas Fir Planks</t>
  </si>
  <si>
    <t>Douglas Fir Shelf</t>
  </si>
  <si>
    <t>Douglas Fir Door Top</t>
  </si>
  <si>
    <t>Douglas Fir Door Bottom</t>
  </si>
  <si>
    <t>Douglas Fir Trapdoor</t>
  </si>
  <si>
    <t>Douglas Fir Sign</t>
  </si>
  <si>
    <t>Douglas Fir Hanging Sign</t>
  </si>
  <si>
    <t>Douglas Fir Boat</t>
  </si>
  <si>
    <t>Douglas Fir Chest Boat</t>
  </si>
  <si>
    <t>Douglas Fir Sapling</t>
  </si>
  <si>
    <t>Douglas Fir Leaves</t>
  </si>
  <si>
    <t>Douglas Fir Falling Leaves</t>
  </si>
  <si>
    <t>Honduran Mahogany Log</t>
  </si>
  <si>
    <t>Honduran Mahogany Log Top</t>
  </si>
  <si>
    <t>Honduran Mahogany Wood</t>
  </si>
  <si>
    <t>Stripped Honduran Mahogany Log</t>
  </si>
  <si>
    <t>Stripped Honduran Mahogany Log Top</t>
  </si>
  <si>
    <t>Stripped Honduran Mahogany Wood</t>
  </si>
  <si>
    <t>Honduran Mahogany Planks</t>
  </si>
  <si>
    <t>Honduran Mahogany Shelf</t>
  </si>
  <si>
    <t>Honduran Mahogany Door Top</t>
  </si>
  <si>
    <t>Honduran Mahogany Door Bottom</t>
  </si>
  <si>
    <t>Honduran Mahogany Trapdoor</t>
  </si>
  <si>
    <t>Honduran Mahogany Sign</t>
  </si>
  <si>
    <t>Honduran Mahogany Hanging Sign</t>
  </si>
  <si>
    <t>Honduran Mahogany Boat</t>
  </si>
  <si>
    <t>Honduran Mahogany Chest Boat</t>
  </si>
  <si>
    <t>Honduran Mahogany Leaves</t>
  </si>
  <si>
    <t>Honduran Mahogany Falling Leaves</t>
  </si>
  <si>
    <t>Honduran Mahogany Sapling</t>
  </si>
  <si>
    <t>Coast Redwood Log</t>
  </si>
  <si>
    <t>Coast Redwood Log Top</t>
  </si>
  <si>
    <t>Coast Redwood Wood</t>
  </si>
  <si>
    <t>Stripped Coast Redwood Log</t>
  </si>
  <si>
    <t>Stripped Coast Redwood Log Top</t>
  </si>
  <si>
    <t>Stripped Coast Redwood Wood</t>
  </si>
  <si>
    <t>Coast Redwood Planks</t>
  </si>
  <si>
    <t>Coast Redwood Shelf</t>
  </si>
  <si>
    <t>Coast Redwood Door Top</t>
  </si>
  <si>
    <t>Coast Redwood Door Bottom</t>
  </si>
  <si>
    <t>Coast Redwood Trapdoor</t>
  </si>
  <si>
    <t>Coast Redwood Sign</t>
  </si>
  <si>
    <t>Coast Redwood Hanging Sign</t>
  </si>
  <si>
    <t>Coast Redwood Boat</t>
  </si>
  <si>
    <t>Coast Redwood Chest Boat</t>
  </si>
  <si>
    <t>Coast Redwood Falling Leaves</t>
  </si>
  <si>
    <t>Coast Redwood Leaves</t>
  </si>
  <si>
    <t>Coast Redwood Sapling</t>
  </si>
  <si>
    <t>Blue Jacaranda Log</t>
  </si>
  <si>
    <t>Blue Jacaranda Log Top</t>
  </si>
  <si>
    <t>Blue Jacaranda Wood</t>
  </si>
  <si>
    <t>Stripped Blue Jacaranda Log</t>
  </si>
  <si>
    <t>Stripped Blue Jacaranda Log Top</t>
  </si>
  <si>
    <t>Stripped Blue Jacaranda Wood</t>
  </si>
  <si>
    <t>Blue Jacaranda Planks</t>
  </si>
  <si>
    <t>Blue Jacaranda Shelf</t>
  </si>
  <si>
    <t>Blue Jacaranda Door_Top</t>
  </si>
  <si>
    <t>Blue Jacaranda_Door_Bottom</t>
  </si>
  <si>
    <t>Blue Jacaranda Trapdoor</t>
  </si>
  <si>
    <t>Blue Jacaranda Sign</t>
  </si>
  <si>
    <t>Blue Jacaranda Hanging Sign</t>
  </si>
  <si>
    <t>Blue Jacaranda Boat</t>
  </si>
  <si>
    <t>Blue Jacaranda Chest Boat</t>
  </si>
  <si>
    <t>Blue Jacaranda Leaves</t>
  </si>
  <si>
    <t>Blue Jacaranda Falling Leaves</t>
  </si>
  <si>
    <t>Blue Jacaranda Sapling</t>
  </si>
  <si>
    <t>Eastern White Pine Log</t>
  </si>
  <si>
    <t>Eastern White Pine Log Knots</t>
  </si>
  <si>
    <t>Eastern White Pine Log Top</t>
  </si>
  <si>
    <t>Eastern White Pine Wood</t>
  </si>
  <si>
    <t>Stripped Eastern White Pine Log</t>
  </si>
  <si>
    <t>Stripped Eastern White Pine Log Top</t>
  </si>
  <si>
    <t>Stripped Eastern White Pine Wood</t>
  </si>
  <si>
    <t>Eastern White Pine Planks</t>
  </si>
  <si>
    <t>Eastern White Pine Shelf</t>
  </si>
  <si>
    <t>Eastern White Pine Door Top</t>
  </si>
  <si>
    <t>Eastern White Pine Door Bottom</t>
  </si>
  <si>
    <t>Eastern White Pine Trapdoor</t>
  </si>
  <si>
    <t>Eastern White Pine Sign</t>
  </si>
  <si>
    <t>Eastern White Pine Hanging Sign</t>
  </si>
  <si>
    <t>Eastern White Pine Boat</t>
  </si>
  <si>
    <t>Eastern White Pine Chest Boat</t>
  </si>
  <si>
    <t>Eastern White Pine Leaves</t>
  </si>
  <si>
    <t>Eastern White Pine Sapling</t>
  </si>
  <si>
    <t>Eastern White Pine Falling Leaves</t>
  </si>
  <si>
    <t>Douglas Fir Wood</t>
  </si>
  <si>
    <t>Honduran Mahogany Seed Pod</t>
  </si>
  <si>
    <t>Honduran Mahogany Seeds</t>
  </si>
  <si>
    <t>Honduran Mahogany Seedling</t>
  </si>
  <si>
    <t>Douglas Fir Cone</t>
  </si>
  <si>
    <t>Douglas Fir Seeds</t>
  </si>
  <si>
    <t>Douglas Fir Seedling</t>
  </si>
  <si>
    <t>Leyland Cypress Log</t>
  </si>
  <si>
    <t>Leyland Cypress Wood</t>
  </si>
  <si>
    <t>Stripped Leyland Cypress Log</t>
  </si>
  <si>
    <t>Stripped Leyland Cypress Wood</t>
  </si>
  <si>
    <t>Leyland Cypress Planks</t>
  </si>
  <si>
    <t>Leyland Cypress Shelf</t>
  </si>
  <si>
    <t>Leyland Cypress Sign</t>
  </si>
  <si>
    <t>Leyland Cypress Hanging Sign</t>
  </si>
  <si>
    <t>Leyland Cypress Boat</t>
  </si>
  <si>
    <t>Leyland Cypress Chest Boat</t>
  </si>
  <si>
    <t>Leyland Cypress Seed Pod</t>
  </si>
  <si>
    <t>Leyland Cypress Seedling</t>
  </si>
  <si>
    <t>Leyland Cypress Seeds</t>
  </si>
  <si>
    <t>Coast Redwood Cone</t>
  </si>
  <si>
    <t>Coast Redwood Seeds</t>
  </si>
  <si>
    <t>redwood_cone</t>
  </si>
  <si>
    <t>redwood_seeds</t>
  </si>
  <si>
    <t>redwood_seedling</t>
  </si>
  <si>
    <t>Coast Redwood Seedling</t>
  </si>
  <si>
    <t>Produces Coast Redwood Seeds</t>
  </si>
  <si>
    <t>Coast Redwood Bark</t>
  </si>
  <si>
    <t>redwood_bark</t>
  </si>
  <si>
    <t>Leyland Cypress Bark</t>
  </si>
  <si>
    <t>cypress_bark</t>
  </si>
  <si>
    <t>Douglas Fir Bark</t>
  </si>
  <si>
    <t>fir_bark</t>
  </si>
  <si>
    <t>Honduran Mahogany Bark</t>
  </si>
  <si>
    <t>mahogany_bark</t>
  </si>
  <si>
    <t>Received from stripping logs.  More uses to be determined.</t>
  </si>
  <si>
    <t>Blue Jacaranda Seed Capsule</t>
  </si>
  <si>
    <t>Blue Jacaranda Seeds</t>
  </si>
  <si>
    <t>Blue Jacaranda Seedling</t>
  </si>
  <si>
    <t>Blue Jacaranda Bark</t>
  </si>
  <si>
    <t>jacaranda_seed_capsule</t>
  </si>
  <si>
    <t>jacaranda_seeds</t>
  </si>
  <si>
    <t>jacaranda_seedling</t>
  </si>
  <si>
    <t>jacaranda_bark</t>
  </si>
  <si>
    <t>Produces Blue Jacaranda Seeds</t>
  </si>
  <si>
    <t>Eastern White Pine Seeds</t>
  </si>
  <si>
    <t>Eastern White Pine Seedling</t>
  </si>
  <si>
    <t>Eastern White Pine Bark</t>
  </si>
  <si>
    <t>Eastern White Pine Cone</t>
  </si>
  <si>
    <t>pine_cone</t>
  </si>
  <si>
    <t>pine_seeds</t>
  </si>
  <si>
    <t>pine_seedling</t>
  </si>
  <si>
    <t>pine_bark</t>
  </si>
  <si>
    <t>Produces Eastern White Pine Seeds</t>
  </si>
  <si>
    <t>Including item textures.</t>
  </si>
  <si>
    <t>Pine Seeds</t>
  </si>
  <si>
    <t>Grow a Pine Tree</t>
  </si>
  <si>
    <t>Home</t>
  </si>
  <si>
    <t>Juniper</t>
  </si>
  <si>
    <t>Redcedar</t>
  </si>
  <si>
    <t>Juniperus virginiana</t>
  </si>
  <si>
    <t>Weeping</t>
  </si>
  <si>
    <t>Salix babylonica</t>
  </si>
  <si>
    <t>Temperate riverbanks, lakeshores, wetlands</t>
  </si>
  <si>
    <t>Broad irregular crown; low spreading limbs with long drooping branchlets</t>
  </si>
  <si>
    <t>Strong water affinity; hanging foliage; fast growth / easy propagation from cuttings</t>
  </si>
  <si>
    <t>Weeping Willow Tree</t>
  </si>
  <si>
    <t>Bark, Salicin, Willow Rods</t>
  </si>
  <si>
    <t>Salicin-rich bark; traditional medicinal use</t>
  </si>
  <si>
    <t>Weeping Willow Log</t>
  </si>
  <si>
    <t>willow_log</t>
  </si>
  <si>
    <t>Weeping Willow Wood</t>
  </si>
  <si>
    <t>Leyland Cypress Log Top</t>
  </si>
  <si>
    <t>cypress_log_top</t>
  </si>
  <si>
    <t>Stripped Leyland Cypress Log Top</t>
  </si>
  <si>
    <t>stripped_cypress_log_top</t>
  </si>
  <si>
    <t>Weeping Willow Log Top</t>
  </si>
  <si>
    <t>willow_log_top</t>
  </si>
  <si>
    <t>Stripped Weeping Willow Log</t>
  </si>
  <si>
    <t>Stripped Weeping Willow Log Top</t>
  </si>
  <si>
    <t>Stripped Weeping Willow Wood</t>
  </si>
  <si>
    <t>willow_wood</t>
  </si>
  <si>
    <t>stripped_willow_log</t>
  </si>
  <si>
    <t>stripped_willow_log_top</t>
  </si>
  <si>
    <t>stripped_willow_wood</t>
  </si>
  <si>
    <t>Weeping Willow Seeds</t>
  </si>
  <si>
    <t>Weeping Willow Seedling</t>
  </si>
  <si>
    <t>Weeping Willow Bark</t>
  </si>
  <si>
    <t>willow_seeds</t>
  </si>
  <si>
    <t>willow_seedling</t>
  </si>
  <si>
    <t>willow_bark</t>
  </si>
  <si>
    <t>Medicinal</t>
  </si>
  <si>
    <t>Nursery Equip.</t>
  </si>
  <si>
    <t>Produces Weeping Willow Seeds</t>
  </si>
  <si>
    <t>Weeping Willow Planks</t>
  </si>
  <si>
    <t>willow_planks</t>
  </si>
  <si>
    <t>willow_catkin</t>
  </si>
  <si>
    <t>Weeping Willow Shelf</t>
  </si>
  <si>
    <t>willow_shelf</t>
  </si>
  <si>
    <t>Weeping Willow Door Top</t>
  </si>
  <si>
    <t>Weeping Willow Door Bottom</t>
  </si>
  <si>
    <t>Weeping Willow Trapdoor</t>
  </si>
  <si>
    <t>Weeping Willow Sign</t>
  </si>
  <si>
    <t>Weeping Willow Hanging Sign</t>
  </si>
  <si>
    <t>Weeping Willow Boat</t>
  </si>
  <si>
    <t>Weeping Willow Chest Boat</t>
  </si>
  <si>
    <t>Weeping Willow Leaves</t>
  </si>
  <si>
    <t>Weeping Willow Falling Leaves</t>
  </si>
  <si>
    <t>Weeping Willow Sapling</t>
  </si>
  <si>
    <t>willow_door_top</t>
  </si>
  <si>
    <t>willow_door_bottom</t>
  </si>
  <si>
    <t>willow_trapdoor</t>
  </si>
  <si>
    <t>willow_sign</t>
  </si>
  <si>
    <t>willow_hanging_sign</t>
  </si>
  <si>
    <t>willow_boat</t>
  </si>
  <si>
    <t>willow_chest_boat</t>
  </si>
  <si>
    <t>willow_leaves</t>
  </si>
  <si>
    <t>willow_sapling</t>
  </si>
  <si>
    <t>willow_#</t>
  </si>
  <si>
    <t>Weeping Willow Catkin</t>
  </si>
  <si>
    <t>Fantasy?</t>
  </si>
  <si>
    <t>Acacia</t>
  </si>
  <si>
    <t>Cherry</t>
  </si>
  <si>
    <t>Oak</t>
  </si>
  <si>
    <t>Spruce</t>
  </si>
  <si>
    <t>Black</t>
  </si>
  <si>
    <t>Oak (Dark)</t>
  </si>
  <si>
    <t>Oak (Pale)</t>
  </si>
  <si>
    <t>White</t>
  </si>
  <si>
    <t>Oak (Origin)</t>
  </si>
  <si>
    <t>Acer rubrum</t>
  </si>
  <si>
    <t>Temperate forests, floodplains, swamps, wetlands, lake/stream margins</t>
  </si>
  <si>
    <t>Medium-Large</t>
  </si>
  <si>
    <t>Straight to moderately branching trunk with an oval/rounded, irregular spreading crown</t>
  </si>
  <si>
    <t>Bark, Samaras, Maple Sap</t>
  </si>
  <si>
    <t>Red spring flowers, paired winged samaras, vivid red/orange/yellow autumn foliage, adaptable to both wet and drier soils</t>
  </si>
  <si>
    <t>Red Maple Tree</t>
  </si>
  <si>
    <t>maple_tree</t>
  </si>
  <si>
    <t>In Progress</t>
  </si>
  <si>
    <t>Sap can be tapped for syrup, but generally has lower sugar concentration than Sugar Maple.  BOP Red/Orange/Yellow Maple variants to be unified as Acer rubrum; coloured foliage reserved for future seasonal phenology.</t>
  </si>
  <si>
    <t>Red Maple Log</t>
  </si>
  <si>
    <t>maple_log</t>
  </si>
  <si>
    <t>Red Maple Log Top</t>
  </si>
  <si>
    <t>maple_log_top</t>
  </si>
  <si>
    <t>Red Maple Wood</t>
  </si>
  <si>
    <t>maple_wood</t>
  </si>
  <si>
    <t>Stripped Red Maple Log</t>
  </si>
  <si>
    <t>Stripped Red Maple Log Top</t>
  </si>
  <si>
    <t>Stripped Red Maple Wood</t>
  </si>
  <si>
    <t>stripped_maple_wood</t>
  </si>
  <si>
    <t>stripped_maple_log_top</t>
  </si>
  <si>
    <t>stripped_maple_log</t>
  </si>
  <si>
    <t>Red Maple Planks</t>
  </si>
  <si>
    <t>Red Maple Shelf</t>
  </si>
  <si>
    <t>Red Maple Door Top</t>
  </si>
  <si>
    <t>Red Maple Door Bottom</t>
  </si>
  <si>
    <t>Red Maple Trapdoor</t>
  </si>
  <si>
    <t>Red Maple Sign</t>
  </si>
  <si>
    <t>Red Maple Hanging Sign</t>
  </si>
  <si>
    <t>Red Maple Boat</t>
  </si>
  <si>
    <t>Red Maple Chest Boat</t>
  </si>
  <si>
    <t>Red Maple Leaves</t>
  </si>
  <si>
    <t>Red Maple Falling Leaves</t>
  </si>
  <si>
    <t>Red Maple Sapling</t>
  </si>
  <si>
    <t>Grow a Maple Tree</t>
  </si>
  <si>
    <t>maple_planks</t>
  </si>
  <si>
    <t>maple_shelf</t>
  </si>
  <si>
    <t>maple_trapdoor</t>
  </si>
  <si>
    <t>maple_sign</t>
  </si>
  <si>
    <t>maple_boat</t>
  </si>
  <si>
    <t>maple_door_top</t>
  </si>
  <si>
    <t>maple_door_bottom</t>
  </si>
  <si>
    <t>maple_hanging_sign</t>
  </si>
  <si>
    <t>maple_chest_boat</t>
  </si>
  <si>
    <t>Red Maple Samara</t>
  </si>
  <si>
    <t>Red Maple Seedling</t>
  </si>
  <si>
    <t>Red Maple Bark</t>
  </si>
  <si>
    <t>Produces Red Maple Seeds</t>
  </si>
  <si>
    <t>Received from stripping logs.  More uses to be determined. Bark contains salicin</t>
  </si>
  <si>
    <t>Demonspur</t>
  </si>
  <si>
    <t>Hellblade (Hellbark)</t>
  </si>
  <si>
    <t>Hellblade</t>
  </si>
  <si>
    <t>Thorny tree with sharp leaves</t>
  </si>
  <si>
    <t>Bark, Redstone Sap</t>
  </si>
  <si>
    <t>Demonspur Hellblade Tree</t>
  </si>
  <si>
    <t>Luciferum Bladus</t>
  </si>
  <si>
    <t>Ethereal (Empyreal)</t>
  </si>
  <si>
    <t>Ethereal</t>
  </si>
  <si>
    <t>Straight trunk, soft rounded leaves</t>
  </si>
  <si>
    <t>Bark, Lapis Sap</t>
  </si>
  <si>
    <t>Blue-glowing bark fissures; emits a faint chime; produces "Lapis Sap"</t>
  </si>
  <si>
    <t>Red-glowing bark fissures; emits a low resonant hum; produces "Redstone Sap"</t>
  </si>
  <si>
    <t>Zombibark (Dead)</t>
  </si>
  <si>
    <t>Crown</t>
  </si>
  <si>
    <t>Alivus deadum</t>
  </si>
  <si>
    <t>Zombibark</t>
  </si>
  <si>
    <t>Jagged trunk, appears dead</t>
  </si>
  <si>
    <t>Crown Zombibark Tree</t>
  </si>
  <si>
    <t>dead_tree</t>
  </si>
  <si>
    <t>Arcanum (Magic)</t>
  </si>
  <si>
    <t>Neutralis Arcana</t>
  </si>
  <si>
    <t>Arcanum</t>
  </si>
  <si>
    <t xml:space="preserve">Straight trunk, branches almost symmetrical </t>
  </si>
  <si>
    <t>Midnight</t>
  </si>
  <si>
    <t>Moonwood (Umbran)</t>
  </si>
  <si>
    <t>Nightis Moonii</t>
  </si>
  <si>
    <t>Moonwood</t>
  </si>
  <si>
    <t>Short trunk, canopy-like tree</t>
  </si>
  <si>
    <t>Bark, Moonsap</t>
  </si>
  <si>
    <t>Moonsap idea needs to be expanded on.</t>
  </si>
  <si>
    <t>Tree is dormant during the day and active at night</t>
  </si>
  <si>
    <t>Can only be killed by removing the crown; attracts zombies</t>
  </si>
  <si>
    <t>Fantasy Biomes</t>
  </si>
  <si>
    <t>Umbrella Thorn</t>
  </si>
  <si>
    <t>Vachellia tortilis</t>
  </si>
  <si>
    <t>Tropical/Subtropical Savanna, semi-arid grasslands</t>
  </si>
  <si>
    <t>Short to moderate trunk with broad, flat-topped umbrella crown</t>
  </si>
  <si>
    <t>Bark, Seed Pods, Acacia Gum</t>
  </si>
  <si>
    <t>Highly drought-tolerant; thorny branches; broad shade-producing crown</t>
  </si>
  <si>
    <t>acacia</t>
  </si>
  <si>
    <t>birch</t>
  </si>
  <si>
    <t>cherry</t>
  </si>
  <si>
    <t>mangrove</t>
  </si>
  <si>
    <t>oak</t>
  </si>
  <si>
    <t>Umbrella Thorn Acacia Tree</t>
  </si>
  <si>
    <t>African savanna species chosen to match Minecraft Acacia’s characteristic flat, spreading canopy.</t>
  </si>
  <si>
    <t>Paper</t>
  </si>
  <si>
    <t>Betula papyrifera</t>
  </si>
  <si>
    <t>Paper Birch Tree</t>
  </si>
  <si>
    <t>Slender upright trunk with narrow to rounded open crown</t>
  </si>
  <si>
    <t>Bark, Birch Sap, Catkins / Seeds</t>
  </si>
  <si>
    <t>Peeling papery bark; pioneer species that readily colonizes disturbed areas</t>
  </si>
  <si>
    <t>Native to Canada; fast-growing pioneer species; bark historically used for canoes, containers and other practical goods; sap can be harvested.</t>
  </si>
  <si>
    <t>Japanese Flowering</t>
  </si>
  <si>
    <t>Prunus serrulata</t>
  </si>
  <si>
    <t>Ecological / Ornamental</t>
  </si>
  <si>
    <t>Cool Temperate / Temperate Forest / Cherry Grove</t>
  </si>
  <si>
    <t>Short to moderate trunk with broad spreading crown and dense flowering branches</t>
  </si>
  <si>
    <t>Bark, Cherry Blossoms, Seeds / Pits</t>
  </si>
  <si>
    <t>Spectacular seasonal flowering; produces drifting petals during bloom</t>
  </si>
  <si>
    <t>Japanese Flowering Cherry Tree</t>
  </si>
  <si>
    <t>Chosen to match Minecraft’s ornamental pink-blossomed Cherry Grove tree; valued primarily for flowering rather than fruit production.</t>
  </si>
  <si>
    <t>Quercus velutina</t>
  </si>
  <si>
    <t>Temperate Deciduous Forest / Dry Upland Woodland</t>
  </si>
  <si>
    <t>Tall trunk with broad rounded crown and heavy spreading branches</t>
  </si>
  <si>
    <t>Bark, Acorns, Tannins</t>
  </si>
  <si>
    <t>Dark deeply furrowed bark; acorn producer; bark rich in tannins</t>
  </si>
  <si>
    <t>Black Oak Tree</t>
  </si>
  <si>
    <t>dark_oak</t>
  </si>
  <si>
    <t>Chosen as the real-world analogue for Minecraft Dark Oak while preserving its darker, heavier visual identity.</t>
  </si>
  <si>
    <t>Kapok (Jungle)</t>
  </si>
  <si>
    <t>Ceiba pentandra</t>
  </si>
  <si>
    <t>Kapok</t>
  </si>
  <si>
    <t>Tropical Rainforest / Humid Tropical Forest</t>
  </si>
  <si>
    <t>Massive straight trunk with prominent buttress roots and broad emergent crown</t>
  </si>
  <si>
    <t>Bark, Seed Pods, Kapok Fibre</t>
  </si>
  <si>
    <t>Emergent rainforest giant; huge buttress roots; seed pods produce lightweight silky fibre</t>
  </si>
  <si>
    <t>Kapok Tree</t>
  </si>
  <si>
    <t>jungle</t>
  </si>
  <si>
    <t>spruce</t>
  </si>
  <si>
    <t>Chosen as the real-world analogue for Minecraft Jungle Tree; towering emergent growth preserves the vanilla tree's enormous tropical silhouette while providing a unique fibre resource.</t>
  </si>
  <si>
    <t>Rhizophora mangle</t>
  </si>
  <si>
    <t>Tropical / Subtropical Coastal Wetlands / Mangrove Swamps</t>
  </si>
  <si>
    <t>Low to moderate trunk with broad crown supported by arching prop roots</t>
  </si>
  <si>
    <t>Bark, Propagules, Tannins</t>
  </si>
  <si>
    <t>Salt-tolerant coastal tree with prominent prop roots; propagules can establish directly in wet substrate</t>
  </si>
  <si>
    <t>Red Mangrove Tree</t>
  </si>
  <si>
    <t>Chosen as the real-world analogue for Minecraft Mangrove; closely matches vanilla’s prop-root structure and propagule reproduction.</t>
  </si>
  <si>
    <t>Northern Red</t>
  </si>
  <si>
    <t>Quercus rubra</t>
  </si>
  <si>
    <t>Cool Temperate / Temperate Deciduous Forest</t>
  </si>
  <si>
    <t>Tall trunk with broad rounded to spreading crown and strong lateral branches</t>
  </si>
  <si>
    <t>Fast-growing oak with large lobed leaves and strong autumn colour; important mast-producing tree</t>
  </si>
  <si>
    <t>Chosen as the real-world analogue for Minecraft Oak; common across eastern North America and Canada, with a classic broad oak silhouette.</t>
  </si>
  <si>
    <t>Jurupa</t>
  </si>
  <si>
    <t>Quercus palmeri</t>
  </si>
  <si>
    <t>Ecological / Specialty</t>
  </si>
  <si>
    <t>Arid / Semi-Arid Chaparral / Montane Valleys</t>
  </si>
  <si>
    <t>Dense, low, multi-stemmed thicket with a broad spreading crown</t>
  </si>
  <si>
    <t>Bark, Acorns</t>
  </si>
  <si>
    <t>Extremely long-lived clonal growth; crown resprouts following fire</t>
  </si>
  <si>
    <t>Jurupa Oak Tree</t>
  </si>
  <si>
    <t>Northern Red Oak Tree</t>
  </si>
  <si>
    <t>Eastern White Pine Tree</t>
  </si>
  <si>
    <t>origin_oak_tree</t>
  </si>
  <si>
    <t>Replaces BOP Origin Oak. Based on the ancient Jurupa Mountains clone of Palmer's oak, estimated to be at least ~13,000 years old; custom trunk/foliage generation should represent its unusual multi-stemmed clonal growth.</t>
  </si>
  <si>
    <t>Quercus alba</t>
  </si>
  <si>
    <t>Temperate Deciduous Forest / Mixed Woodland</t>
  </si>
  <si>
    <t>Strong trunk with broad rounded crown and massive spreading limbs</t>
  </si>
  <si>
    <t>Pale flaky bark; long-lived mast-producing oak; durable rot-resistant heartwood</t>
  </si>
  <si>
    <t>White Oak Tree</t>
  </si>
  <si>
    <t>pale_oak</t>
  </si>
  <si>
    <t>Chosen as the real-world analogue for Minecraft Pale Oak; preserves the pale visual identity while completing the Red / White / Black vanilla oak trio.</t>
  </si>
  <si>
    <t>Royal</t>
  </si>
  <si>
    <t>Roystonea regia</t>
  </si>
  <si>
    <t>Tropical / Subtropical Forest &amp; Wetlands</t>
  </si>
  <si>
    <t>Tall, straight, columnar trunk topped by a compact crown of large arching fronds</t>
  </si>
  <si>
    <t>Palm Fronds, Fruit / Seeds</t>
  </si>
  <si>
    <t>Distinctive smooth columnar trunk and high crown; naturally sheds old fronds</t>
  </si>
  <si>
    <t>Royal Palm Tree</t>
  </si>
  <si>
    <t>Replaces BOP Palm; selected because its tall straight trunk and concentrated crown closely match the existing BOP tree form while remaining distinct from the planned Coconut and Walking Palms.</t>
  </si>
  <si>
    <t>Norway</t>
  </si>
  <si>
    <t>Picea abies</t>
  </si>
  <si>
    <t>Resource / Ecological / Ornamental</t>
  </si>
  <si>
    <t>Cool Temperate / Boreal Forest / Montane Woodland</t>
  </si>
  <si>
    <t>Tall straight trunk with dense conical crown and slightly drooping branchlets</t>
  </si>
  <si>
    <t>Classic conical form; hanging cones; commonly used as a Christmas tree</t>
  </si>
  <si>
    <t>Norway Spruce Tree</t>
  </si>
  <si>
    <t>Chosen as the real-world analogue for Minecraft Spruce; preserves the familiar dark conifer silhouette while adding spruce-specific drooping branchlets and hanging cones.</t>
  </si>
  <si>
    <t>Midnight Moonwood Tree</t>
  </si>
  <si>
    <t>Pseudotsuga menziesii</t>
  </si>
  <si>
    <t>Cool Temperate / Montane Coniferous Forest / Pacific Northwest</t>
  </si>
  <si>
    <t>Tall straight trunk with narrow conical crown and horizontally spreading branches</t>
  </si>
  <si>
    <t>Distinctive hanging cones with three-pointed bracts; thick fire-resistant bark on mature trees</t>
  </si>
  <si>
    <t>Swietenia macrophylla</t>
  </si>
  <si>
    <t>Tropical / Seasonal Tropical Forest / Lowland Rainforest</t>
  </si>
  <si>
    <t>Tall straight trunk with broad rounded crown and heavy spreading branches</t>
  </si>
  <si>
    <t>Large woody seed capsules split open to release winged seeds; highly valued durable timber</t>
  </si>
  <si>
    <t>Subtropical / Warm Temperate Woodland / Dry Seasonal Forest</t>
  </si>
  <si>
    <t>Short to moderate trunk with broad spreading crown and airy, fern-like foliage</t>
  </si>
  <si>
    <t>Produces dramatic seasonal displays of violet-blue flowers before and during leaf growth</t>
  </si>
  <si>
    <t>Cool Temperate / Temperate Woodland / Cultivated Landscapes</t>
  </si>
  <si>
    <t>Undead broadleaf tree that maintains a dense canopy year-round, creating shaded shelter for attracted zombies; the tree can only be permanently killed by destroying its crown.</t>
  </si>
  <si>
    <t>Legendary hostile fantasy tree with charcoal-black bark split by glowing red fissures and hardened bark spurs; emits a low resonant hum and produces Redstone Sap, representing the volatile counterpart to the Silver Ethereal Tree.</t>
  </si>
  <si>
    <t>Bark, Arcane Resin</t>
  </si>
  <si>
    <t>Naturally develops a striking black-and-white split bark pattern; branch growth is unusually symmetrical and the tree produces a stabilising Arcane Resin.</t>
  </si>
  <si>
    <t>Legendary neutral fantasy conifer representing balance between opposing magical energies; neither benevolent nor hostile, with highly ordered growth and a distinctive dual-toned trunk.</t>
  </si>
  <si>
    <t>Temperate Woodland / Dry Uplands / Old Fields / Rocky Slopes</t>
  </si>
  <si>
    <t>Small-Medium</t>
  </si>
  <si>
    <t>Dense conical crown with a single straight trunk; older trees become more irregular and spreading</t>
  </si>
  <si>
    <t>Bark, Juniper Berries, Aromatic Wood</t>
  </si>
  <si>
    <t>Highly aromatic rot-resistant heartwood; berry-like cones provide wildlife food</t>
  </si>
  <si>
    <t>Eastern Redcedar Tree</t>
  </si>
  <si>
    <t>eastern_redcedar_tree</t>
  </si>
  <si>
    <t>Despite the name, it is a juniper rather than a true cedar; hardy pioneer species that readily colonizes open and disturbed ground.</t>
  </si>
  <si>
    <t>Also known as Butternut; native to eastern North America and valued for its light-coloured workable wood and edible nuts. Distinct from Black Walnut, with a softer overall appearance and elongated nut husks.</t>
  </si>
  <si>
    <t>Prunus armeniaca</t>
  </si>
  <si>
    <t>Warm Temperate / Dry Temperate Woodland</t>
  </si>
  <si>
    <t>Short trunk with broad rounded crown and spreading branches</t>
  </si>
  <si>
    <t>Apricots, Pits, Bark</t>
  </si>
  <si>
    <t>Early spring flowering followed by edible stone fruit; prefers warm, relatively dry growing conditions</t>
  </si>
  <si>
    <t>Common Apricot Tree</t>
  </si>
  <si>
    <t>apricot_tree</t>
  </si>
  <si>
    <t>Cultivated fruit tree in the genus Prunus; flowers early in spring and produces orange-yellow stone fruit during the growing season.</t>
  </si>
  <si>
    <t>Citrus × paradisi</t>
  </si>
  <si>
    <t>Citrus</t>
  </si>
  <si>
    <t>Food / Resource / Ornamental</t>
  </si>
  <si>
    <t>Subtropical / Warm Temperate Orchard / Coastal Lowlands</t>
  </si>
  <si>
    <t>Low branching trunk with dense rounded evergreen crown</t>
  </si>
  <si>
    <t>Grapefruit, Seeds, Peel, Blossoms</t>
  </si>
  <si>
    <t>Produces large aromatic citrus fruit; fragrant white blossoms and glossy evergreen foliage</t>
  </si>
  <si>
    <t>Common Grapefruit Tree</t>
  </si>
  <si>
    <t>grapefruit_tree</t>
  </si>
  <si>
    <t>Cultivated citrus hybrid grown in warm climates; fruit is larger and typically more bitter or tart than orange.</t>
  </si>
  <si>
    <t>Citrus × limon</t>
  </si>
  <si>
    <t>Subtropical / Warm Temperate Orchard / Mediterranean-like Climate</t>
  </si>
  <si>
    <t>Low branching trunk with dense rounded crown and irregular spreading branches</t>
  </si>
  <si>
    <t>Lemons, Seeds, Peel, Blossoms</t>
  </si>
  <si>
    <t>Produces strongly acidic aromatic fruit; fragrant white flowers and evergreen foliage</t>
  </si>
  <si>
    <t>Common Lemon Tree</t>
  </si>
  <si>
    <t>lemon_tree</t>
  </si>
  <si>
    <t>Cultivated citrus hybrid grown extensively in warm climates; valued for its acidic juice, aromatic peel, and repeated flowering and fruiting under suitable conditions.</t>
  </si>
  <si>
    <t>Key</t>
  </si>
  <si>
    <t>Citrus × aurantiifolia</t>
  </si>
  <si>
    <t>Tropical / Subtropical Orchard / Coastal Lowlands</t>
  </si>
  <si>
    <t>Low branching, densely branched tree with an irregular rounded crown and occasional thorns</t>
  </si>
  <si>
    <t>Limes, Seeds, Peel, Blossoms</t>
  </si>
  <si>
    <t>Produces small highly acidic aromatic citrus fruit; fragrant blossoms and thorny branches</t>
  </si>
  <si>
    <t>Key Lime Tree</t>
  </si>
  <si>
    <t>lime_tree</t>
  </si>
  <si>
    <t>Cultivated citrus hybrid adapted to warm tropical and subtropical climates; smaller and generally more cold-sensitive than many other cultivated citrus trees.</t>
  </si>
  <si>
    <t>Citrus × sinensis</t>
  </si>
  <si>
    <t>Oranges, Seeds, Peel, Blossoms</t>
  </si>
  <si>
    <t>Produces sweet aromatic citrus fruit; fragrant white blossoms and glossy evergreen foliage</t>
  </si>
  <si>
    <t>Sweet Orange Tree</t>
  </si>
  <si>
    <t>orange_tree</t>
  </si>
  <si>
    <t>Cultivated citrus hybrid widely grown in warm climates; one of the world’s major fruit crops and a parent of several other cultivated citrus hybrids.</t>
  </si>
  <si>
    <t>European</t>
  </si>
  <si>
    <t>Prunus domestica</t>
  </si>
  <si>
    <t>Temperate / Warm Temperate Woodland / Orchards</t>
  </si>
  <si>
    <t>Short trunk with a rounded to spreading crown and densely branching limbs</t>
  </si>
  <si>
    <t>Plums, Pits, Blossoms</t>
  </si>
  <si>
    <t>Produces spring blossoms followed by sweet stone fruit; fruit can be eaten fresh or dried into prunes</t>
  </si>
  <si>
    <t>European Plum Tree</t>
  </si>
  <si>
    <t>plum_tree</t>
  </si>
  <si>
    <t>Cultivated stone-fruit tree closely related to cherries, apricots and almonds; numerous cultivars produce fruit varying widely in colour, size and sweetness.</t>
  </si>
  <si>
    <t>Manilkara zapota</t>
  </si>
  <si>
    <t>Tropical / Subtropical Forest / Tropical Orchard</t>
  </si>
  <si>
    <t>Dense rounded crown on a sturdy trunk with spreading branches</t>
  </si>
  <si>
    <t>Sapodilla Fruit, Seeds, Latex</t>
  </si>
  <si>
    <t>Produces sweet brown fruit and a milky latex historically harvested as chicle</t>
  </si>
  <si>
    <t>sapodilla_tree</t>
  </si>
  <si>
    <t>Common Sapodilla Tree</t>
  </si>
  <si>
    <t>Tropical evergreen fruit tree native to southern Mexico and Central America; its latex was traditionally used to make chewing-gum base.</t>
  </si>
  <si>
    <t>Senegalia senegal</t>
  </si>
  <si>
    <t>Gum Arabic Acacia Tree</t>
  </si>
  <si>
    <t>Small thorny tree with a short trunk and irregular spreading crown</t>
  </si>
  <si>
    <t>Arid / Semi-Arid Savanna / Sahel</t>
  </si>
  <si>
    <t>Gum Arabic, Bark, Seed Pods</t>
  </si>
  <si>
    <t>Produces gum arabic from wounds in the bark; highly drought-tolerant and adapted to semi-arid environments</t>
  </si>
  <si>
    <t>gum_arabic_acacia_tree</t>
  </si>
  <si>
    <t>Resource-focused acacia native to dry regions of Africa; harvested for gum arabic, a natural plant exudate with extensive food, binding and industrial uses. Distinct from the Umbrella Thorn Acacia.</t>
  </si>
  <si>
    <t>Persea americana</t>
  </si>
  <si>
    <t>Tropical / Subtropical Forest / Warm Orchards</t>
  </si>
  <si>
    <t>Short to moderate trunk with a dense rounded crown and spreading branches</t>
  </si>
  <si>
    <t>Avocados, Pits, Leaves</t>
  </si>
  <si>
    <t>Produces large nutrient-rich fruit with a single large seed; thrives in warm frost-sensitive climates</t>
  </si>
  <si>
    <t>avocado_tree</t>
  </si>
  <si>
    <t>Common Avocado Tree</t>
  </si>
  <si>
    <t>Evergreen fruit tree native to the Americas and widely cultivated in warm climates; numerous varieties differ in fruit size, skin texture and oil content.</t>
  </si>
  <si>
    <t>Count</t>
  </si>
  <si>
    <t>Value</t>
  </si>
  <si>
    <t>Tamarack</t>
  </si>
  <si>
    <t>Larix laricina</t>
  </si>
  <si>
    <t>Larch</t>
  </si>
  <si>
    <t>Taxodium distichum</t>
  </si>
  <si>
    <t>Abies balsamea</t>
  </si>
  <si>
    <t>Picea sitchensis</t>
  </si>
  <si>
    <t>Quercus suber</t>
  </si>
  <si>
    <t>Joshua Tree</t>
  </si>
  <si>
    <t>Yucca brevifolia</t>
  </si>
  <si>
    <t>Yucca</t>
  </si>
  <si>
    <t>Moso Bamboo</t>
  </si>
  <si>
    <t>Phyllostachys edulis</t>
  </si>
  <si>
    <t>Banana</t>
  </si>
  <si>
    <t>Metasequoia glyptostroboides</t>
  </si>
  <si>
    <t>Quercus virginiana</t>
  </si>
  <si>
    <t>Pinus longaeva</t>
  </si>
  <si>
    <t>Ficus aurea</t>
  </si>
  <si>
    <t>Fig</t>
  </si>
  <si>
    <t>Date Palm</t>
  </si>
  <si>
    <t>Phoenix dactylifera</t>
  </si>
  <si>
    <t>New Zealand Kauri</t>
  </si>
  <si>
    <t>Agathis australis</t>
  </si>
  <si>
    <t>Kauri</t>
  </si>
  <si>
    <t>Paper Birch</t>
  </si>
  <si>
    <t>Why does this tree exist?</t>
  </si>
  <si>
    <t>Swamp / Wetland</t>
  </si>
  <si>
    <t>Coastal</t>
  </si>
  <si>
    <t>Boreal / Extreme Cold</t>
  </si>
  <si>
    <t>Desert / Arid</t>
  </si>
  <si>
    <t>Mountain / Alpine</t>
  </si>
  <si>
    <t>Rainforest / Tropical</t>
  </si>
  <si>
    <t>Temperate Forest</t>
  </si>
  <si>
    <t>Fast Growth</t>
  </si>
  <si>
    <t>Slow Growth / Ancient</t>
  </si>
  <si>
    <t>Hardwood</t>
  </si>
  <si>
    <t>Softwood</t>
  </si>
  <si>
    <t>Ultra-Dense Wood</t>
  </si>
  <si>
    <t>Rare / Luxury Timber</t>
  </si>
  <si>
    <t>Fruit</t>
  </si>
  <si>
    <t>Nut</t>
  </si>
  <si>
    <t>Edible / Food</t>
  </si>
  <si>
    <t>Sap</t>
  </si>
  <si>
    <t>Resin</t>
  </si>
  <si>
    <t>Cork</t>
  </si>
  <si>
    <t>Latex / Rubber</t>
  </si>
  <si>
    <t>Oil</t>
  </si>
  <si>
    <t>Spice / Bark Product</t>
  </si>
  <si>
    <t>Medicinal / Special Resource</t>
  </si>
  <si>
    <t>Deciduous Conifer</t>
  </si>
  <si>
    <t>Evergreen Broadleaf</t>
  </si>
  <si>
    <t>Flowering / Ornamental</t>
  </si>
  <si>
    <t>Unusual Growth Form</t>
  </si>
  <si>
    <t>Flood Tolerant</t>
  </si>
  <si>
    <t>Salt Tolerant</t>
  </si>
  <si>
    <t>Fire Adapted</t>
  </si>
  <si>
    <t>Drought Tolerant</t>
  </si>
  <si>
    <t>Nitrogen Fixing / Soil Improvement</t>
  </si>
  <si>
    <t>Structural Material</t>
  </si>
  <si>
    <t>Bamboo-like Material</t>
  </si>
  <si>
    <t>Wildlife / Habitat Value</t>
  </si>
  <si>
    <t>Pollinator Value</t>
  </si>
  <si>
    <t>Seed / Cone Mechanic</t>
  </si>
  <si>
    <t>Tapping Tree</t>
  </si>
  <si>
    <t>Seasonal Colour</t>
  </si>
  <si>
    <t>Unique Harvest Mechanic</t>
  </si>
  <si>
    <t>Extreme Longevity</t>
  </si>
  <si>
    <t>Massive Size</t>
  </si>
  <si>
    <t>Tiny / Shrubby Tree Form</t>
  </si>
  <si>
    <t>"Hook" *</t>
  </si>
  <si>
    <t>* Hook refers to "Why does this tree exist?"</t>
  </si>
  <si>
    <t>Total Trees</t>
  </si>
  <si>
    <t>Hook Analysis</t>
  </si>
  <si>
    <t>"Hooks"</t>
  </si>
  <si>
    <t>Overall</t>
  </si>
  <si>
    <t>Allelopathy / Chemical Defence</t>
  </si>
  <si>
    <t>Dye / Pigment</t>
  </si>
  <si>
    <t>Boreal / Cold Temperate Wetlands / Bogs</t>
  </si>
  <si>
    <t>Straight trunk with narrow conical crown</t>
  </si>
  <si>
    <t>Bark, Tamarack Cones, Tamarack Seeds, Timber</t>
  </si>
  <si>
    <t>Needles turn golden-yellow in autumn and drop; tolerates cold, wet and boggy soils</t>
  </si>
  <si>
    <t>American Tamarack Tree</t>
  </si>
  <si>
    <t>tamarack_tree</t>
  </si>
  <si>
    <t>North American deciduous conifer adapted to boreal bogs and wetlands; soft green needles turn bright golden-yellow in autumn before dropping for winter. Small upright cones persist on branches.</t>
  </si>
  <si>
    <t>Bald</t>
  </si>
  <si>
    <t>Warm Temperate / Subtropical Wetlands / Swamps / Floodplains</t>
  </si>
  <si>
    <t>Tall straight trunk; buttressed base; pyramidal crown; may develop cypress knees</t>
  </si>
  <si>
    <t>Bark, Bald Cypress Cones, Bald Cypress Seeds, Timber</t>
  </si>
  <si>
    <t>Thrives in seasonally flooded or standing water; produces distinctive woody “knees”; needles turn rusty orange-brown before dropping</t>
  </si>
  <si>
    <t>Bald Cypress Tree</t>
  </si>
  <si>
    <t>bald_cypress_tree</t>
  </si>
  <si>
    <t>Deciduous wetland conifer strongly associated with swamps and floodplains. Can grow in standing water and may form distinctive cypress knees around the trunk. Foliage turns coppery/rust-orange before falling.</t>
  </si>
  <si>
    <t>Balsam</t>
  </si>
  <si>
    <t>Straight trunk with narrow, dense conical crown</t>
  </si>
  <si>
    <t>Bark, Balsam Fir Cones, Balsam Fir Seeds, Resin/Balsam, Timber</t>
  </si>
  <si>
    <t>Highly cold-tolerant aromatic fir; resinous bark/blisters can provide balsam</t>
  </si>
  <si>
    <t>Balsam Fir Tree</t>
  </si>
  <si>
    <t>balsam_fir_tree</t>
  </si>
  <si>
    <t>True fir native to northern North America and strongly associated with boreal forests. Dense aromatic evergreen foliage; upright cones; highly cold tolerant. Bark contains resinous balsam that could eventually support tapping or specialised harvesting.</t>
  </si>
  <si>
    <t>Sitka</t>
  </si>
  <si>
    <t>Cool Temperate Coastal / Temperate Rainforest</t>
  </si>
  <si>
    <t>Very tall straight trunk with narrow conical crown and dense horizontal branches</t>
  </si>
  <si>
    <t>Bark, Sitka Spruce Cones, Sitka Spruce Seeds, Timber</t>
  </si>
  <si>
    <t>Thrives in cool, wet maritime climates; tolerates wind and salt-laden coastal air; can reach enormous size</t>
  </si>
  <si>
    <t>Sitka Spruce Tree</t>
  </si>
  <si>
    <t>sitka_spruce_tree</t>
  </si>
  <si>
    <t>Huge coastal spruce of the Pacific Northwest, strongly associated with cool maritime forests and temperate rainforest. Excels in wet, windy coastal conditions and can become one of the tallest conifers in the world.</t>
  </si>
  <si>
    <t>Mediterranean / Warm Temperate Woodland</t>
  </si>
  <si>
    <t>Short to moderate trunk with broad, irregular spreading crown</t>
  </si>
  <si>
    <t>Cork Bark, Acorns, Timber</t>
  </si>
  <si>
    <t>Thick corky bark can be harvested repeatedly without killing the tree; bark gradually regenerates</t>
  </si>
  <si>
    <t>Cork Oak Tree</t>
  </si>
  <si>
    <t>cork_oak_tree</t>
  </si>
  <si>
    <t>Evergreen Mediterranean oak grown primarily for its thick cork bark. Mature bark can be stripped without felling the tree and regenerates over time, making Cork Oak a renewable forestry crop rather than a one-time timber harvest.</t>
  </si>
  <si>
    <t>Hot Arid / Desert / High Desert</t>
  </si>
  <si>
    <t>Thick branching trunk with sparse, irregular arms and dense spiky leaf rosettes</t>
  </si>
  <si>
    <t>Fibrous Leaves, Flowers, Seeds, Timber-like Stem Material</t>
  </si>
  <si>
    <t>Extremely drought-adapted; distinctive branching form; can survive harsh desert conditions</t>
  </si>
  <si>
    <t>joshua_tree</t>
  </si>
  <si>
    <t>Iconic Mojave Desert tree-like yucca with a highly irregular branching form and dense clusters of stiff leaves. Extremely drought tolerant and visually distinct from conventional woody trees, making it ideal for arid biome identity.</t>
  </si>
  <si>
    <t>Joshua</t>
  </si>
  <si>
    <t>Moso</t>
  </si>
  <si>
    <t>Warm Temperate / Subtropical Forest</t>
  </si>
  <si>
    <t>Very tall, straight hollow culms emerging from spreading underground rhizomes; branches concentrated higher on mature culms</t>
  </si>
  <si>
    <t>Bamboo Culms, Bamboo Shoots, Leaves, Seeds</t>
  </si>
  <si>
    <t>Extremely rapid growth and underground rhizome spread; mature culms provide a strong, lightweight structural material</t>
  </si>
  <si>
    <t>moso_bamboo</t>
  </si>
  <si>
    <t>Large running bamboo and technically a giant grass rather than a woody tree. New culms emerge rapidly from underground rhizomes and can form dense groves. Mature hollow culms provide a renewable lightweight structural material, while young shoots can be harvested as food.</t>
  </si>
  <si>
    <t>Musa spp.</t>
  </si>
  <si>
    <t>Food / Resource</t>
  </si>
  <si>
    <t>Tropical / Humid Subtropical</t>
  </si>
  <si>
    <t>Large leafy pseudostem formed from tightly wrapped leaf bases; new suckers emerge from underground corm/rhizome</t>
  </si>
  <si>
    <t>Bananas, Banana Leaves, Fibre, Suckers / Planting Material</t>
  </si>
  <si>
    <t>Individual pseudostems fruit once, then die back while replacement suckers continue growing from the underground plant</t>
  </si>
  <si>
    <t>Banana Plant</t>
  </si>
  <si>
    <t>banana_plant</t>
  </si>
  <si>
    <t>Large tropical perennial herb rather than a true woody tree. The apparent trunk is a pseudostem made from overlapping leaf bases. Each mature pseudostem flowers and fruits once before dying back, while new suckers emerge from the underground corm to replace it.</t>
  </si>
  <si>
    <t>Dawn</t>
  </si>
  <si>
    <t>Resource / Ornamental</t>
  </si>
  <si>
    <t>Cool Temperate / Moist Lowland / River Valleys</t>
  </si>
  <si>
    <t>Tall straight trunk with strongly tapered base and narrow pyramidal crown</t>
  </si>
  <si>
    <t>Bark, Dawn Redwood Cones, Dawn Redwood Seeds, Timber</t>
  </si>
  <si>
    <t>Soft green needles turn coppery-orange before dropping in autumn; ancient lineage once known only from fossils</t>
  </si>
  <si>
    <t>Dawn Redwood Tree</t>
  </si>
  <si>
    <t>dawn_redwood_tree</t>
  </si>
  <si>
    <t>Deciduous conifer and living representative of an ancient lineage once known only from fossils. Soft feathery foliage turns bronze to copper-orange in autumn before dropping, while the strongly buttressed/tapered trunk gives mature trees a distinctive silhouette.</t>
  </si>
  <si>
    <t>Southern Live</t>
  </si>
  <si>
    <t>Resource / Habitat</t>
  </si>
  <si>
    <t>Warm Temperate / Subtropical Woodland / Coastal Plain</t>
  </si>
  <si>
    <t>Short, massive trunk with enormous low spreading limbs and a very broad rounded crown</t>
  </si>
  <si>
    <t>Bark, Acorns, Timber</t>
  </si>
  <si>
    <t>Retains foliage through most or all of winter in warm climates; develops huge horizontally spreading limbs and extremely broad crowns</t>
  </si>
  <si>
    <t>Southern Live Oak Tree</t>
  </si>
  <si>
    <t>southern_live_oak_tree</t>
  </si>
  <si>
    <t>Iconic southeastern North American oak with a massive spreading crown and heavy horizontal limbs. Unlike most familiar temperate oaks, it remains evergreen or nearly evergreen through winter in warm climates. Mature trees can become exceptionally wide and provide substantial wildlife habitat.</t>
  </si>
  <si>
    <t>Great Basin Bristlecone</t>
  </si>
  <si>
    <t>Resource / Heritage</t>
  </si>
  <si>
    <t>High-Elevation / Cold Arid / Alpine Woodland</t>
  </si>
  <si>
    <t>Gnarled, twisted trunk with sparse irregular crown; often partly dead-looking while still alive</t>
  </si>
  <si>
    <t>Bark, Bristlecone Pine Cones, Bristlecone Pine Seeds, Timber</t>
  </si>
  <si>
    <t>Extremely slow-growing and exceptionally long-lived; survives harsh, exposed, nutrient-poor mountain conditions</t>
  </si>
  <si>
    <t>Great Basin Bristlecone Pine Tree</t>
  </si>
  <si>
    <t>great_basin_bristlecone_pine</t>
  </si>
  <si>
    <t>Ancient high-elevation pine adapted to cold, dry, windswept mountain environments. Extremely slow growth and extraordinary lifespan produce twisted trunks, deadwood sections, and sparse crowns that can make even living trees look weather-beaten and half-dead.</t>
  </si>
  <si>
    <t>Florida Strangler</t>
  </si>
  <si>
    <t>Tropical / Subtropical Rainforest / Humid Woodland</t>
  </si>
  <si>
    <t>Begins as an epiphyte high in another tree; aerial roots descend to the ground, thicken, fuse and gradually form a lattice-like trunk around the host</t>
  </si>
  <si>
    <t>Figs, Latex, Seeds, Timber</t>
  </si>
  <si>
    <t>Can begin life growing on another tree rather than directly from soil; descending aerial roots may eventually surround and outlive the host</t>
  </si>
  <si>
    <t>Florida Strangler Fig Tree</t>
  </si>
  <si>
    <t>florida_strangler_fig_tree</t>
  </si>
  <si>
    <t>Hemiepiphytic fig that commonly begins life in the canopy of another tree. Aerial roots grow downward, reach the soil, thicken and fuse into an increasingly complex trunk structure around the host. Produces figs valuable to wildlife and can eventually persist after the original host declines or dies.</t>
  </si>
  <si>
    <t>Date</t>
  </si>
  <si>
    <t>Hot Arid / Desert Oasis / Subtropical</t>
  </si>
  <si>
    <t>Tall, mostly unbranched trunk topped by a dense crown of long pinnate fronds; may produce basal offshoots</t>
  </si>
  <si>
    <t>Dates, Palm Fronds, Fibre, Seeds</t>
  </si>
  <si>
    <t>Exceptionally well adapted to hot dry climates; male and female flowers occur on separate plants, making pollination important for fruit production</t>
  </si>
  <si>
    <t>date_palm</t>
  </si>
  <si>
    <t>Ancient cultivated desert palm commonly associated with oases. Extremely heat and drought tolerant once established, but productive trees still depend on access to water. Date palms are dioecious, with separate male and female plants, allowing future pollination and orchard-management mechanics.</t>
  </si>
  <si>
    <t>New Zealand</t>
  </si>
  <si>
    <t>Warm Temperate / Subtropical Rainforest</t>
  </si>
  <si>
    <t>Enormous straight trunk with relatively few lower branches; mature crown spreads high above the forest canopy</t>
  </si>
  <si>
    <t>Bark, Kauri Cones, Kauri Seeds, Kauri Gum/Resin, Timber</t>
  </si>
  <si>
    <t>Develops an exceptionally massive trunk and can dominate the surrounding forest canopy; produces valuable kauri gum/resin</t>
  </si>
  <si>
    <t>New Zealand Kauri Tree</t>
  </si>
  <si>
    <t>new_zealand_kauri_tree</t>
  </si>
  <si>
    <t>Ancient evergreen conifer native to northern New Zealand. Mature trees develop immense column-like trunks and broad crowns high above the surrounding forest. Produces kauri gum/resin and can become one of the physically largest trees in its ecosystem.</t>
  </si>
  <si>
    <t>New Trees</t>
  </si>
  <si>
    <t>Updated Trees</t>
  </si>
  <si>
    <t>Trees Completed</t>
  </si>
  <si>
    <t>New Trees "</t>
  </si>
  <si>
    <t>Updated Trees "</t>
  </si>
  <si>
    <t>Trees In-Game</t>
  </si>
  <si>
    <t>% of Trees</t>
  </si>
  <si>
    <t>Variant Analysis</t>
  </si>
  <si>
    <t>Current Variants / Subspecies</t>
  </si>
  <si>
    <t>Missing / Possible Variants</t>
  </si>
  <si>
    <t>New Hook?</t>
  </si>
  <si>
    <t>Singleton</t>
  </si>
  <si>
    <t>Developing</t>
  </si>
  <si>
    <t>Add Now</t>
  </si>
  <si>
    <t>Future Expansion</t>
  </si>
  <si>
    <t>Not Needed</t>
  </si>
  <si>
    <t>Arcanum*</t>
  </si>
  <si>
    <t>Zombibark*</t>
  </si>
  <si>
    <t>Ethereal*</t>
  </si>
  <si>
    <t>Moonwood*</t>
  </si>
  <si>
    <t>Hellblade*</t>
  </si>
  <si>
    <t>Umbrella Thorn; Gum Arabic</t>
  </si>
  <si>
    <t>Coverage</t>
  </si>
  <si>
    <t>Strong</t>
  </si>
  <si>
    <t>Overstuffed</t>
  </si>
  <si>
    <t>Best Candidate</t>
  </si>
  <si>
    <t>Black Wattle; Silver Wattle; Sweet Acacia</t>
  </si>
  <si>
    <t>Black Wattle</t>
  </si>
  <si>
    <t>Red Alder</t>
  </si>
  <si>
    <t>Black Alder; Green Alder; Grey Alder; White Alder</t>
  </si>
  <si>
    <t>Green Alder</t>
  </si>
  <si>
    <t>Low, multi-stemmed alder adapted to cold/subalpine environments; nitrogen-fixing like other alders but grows much more as a shrub/thicket than a conventional tree.</t>
  </si>
  <si>
    <t>Sweet Almond</t>
  </si>
  <si>
    <t>Sweet Cherry</t>
  </si>
  <si>
    <t>Bitter Almond; Flowering Almond</t>
  </si>
  <si>
    <t>Bitter Almond</t>
  </si>
  <si>
    <t>Bitter Almond is essentially the chemically spicy cousin of Sweet Almond; higher amygdalin content means the kernels are not simply another edible nut and would need specialised processing.</t>
  </si>
  <si>
    <t>Granny Smith; Honeycrisp; McIntosh</t>
  </si>
  <si>
    <t>Arkansas Black; Golden Delicious; Fuji; Gala; Antonovka</t>
  </si>
  <si>
    <t>Arkansas Black</t>
  </si>
  <si>
    <t>Arkansas Black develops extremely dark red fruit and is especially interesting as a storage apple: the fruit is quite firm/tart at harvest and improves after time in storage, giving preservation/aging gameplay a reason to matter.</t>
  </si>
  <si>
    <t>Moorpark; Blenheim; Manchurian Apricot; Japanese Apricot</t>
  </si>
  <si>
    <t>Manchurian Apricot</t>
  </si>
  <si>
    <t>Manchurian Apricot stands out for much greater cold hardiness than typical cultivated apricots, giving the family a reason to exist in colder orchard regions rather than simply adding another fruit cultivar.</t>
  </si>
  <si>
    <t>Gray Arcanum</t>
  </si>
  <si>
    <t>Azure Arcanum; Crimson Arcanum; Verdant Arcanum; Umbral Arcanum</t>
  </si>
  <si>
    <t>Azure Arcanum</t>
  </si>
  <si>
    <t>Arcanum variants could each produce a distinct resin or magical by-product rather than only differing visually. Azure Arcanum could specialise in a cold/arcane resin or crystal-forming exudate, giving the family a consistent “magical resin tree” identity.</t>
  </si>
  <si>
    <t>Quaking Aspen</t>
  </si>
  <si>
    <t>Bigtooth Aspen; European Aspen</t>
  </si>
  <si>
    <t>Bigtooth Aspen</t>
  </si>
  <si>
    <t>Bigtooth Aspen is a useful future contrast to Quaking Aspen, favouring somewhat different soils/conditions and having larger coarser-toothed leaves, but Quaking Aspen already carries the family’s strongest gameplay identity through clonal suckering and huge interconnected colonies.</t>
  </si>
  <si>
    <t>Common Avocado</t>
  </si>
  <si>
    <t>Common Banana</t>
  </si>
  <si>
    <t>Hass; Fuerte; Bacon; Zutano; West Indian Avocado</t>
  </si>
  <si>
    <t>Hass</t>
  </si>
  <si>
    <t>Hass is the obvious premium cultivar candidate, with distinct dark pebbled skin and strong real-world recognition, but Common Avocado already covers the core food/resource role. Future cultivars would be most useful if Fruit Fun adds quality, seasonality, yield, or climate differences.</t>
  </si>
  <si>
    <t>Giant Timber Bamboo; Golden Bamboo; Black Bamboo; Clumping Bamboo</t>
  </si>
  <si>
    <t>Black Bamboo</t>
  </si>
  <si>
    <t>Moso already owns the core fast-growing structural-material niche. Black Bamboo would add a strongly distinct visual identity with dark culms, while clumping bamboo could later introduce a contrasting non-running growth habit.</t>
  </si>
  <si>
    <t>Plantain; Cavendish; Red Banana; Blue Java; Lady Finger</t>
  </si>
  <si>
    <t>Plantain</t>
  </si>
  <si>
    <t>Common Banana already covers the classic sweet-fruit role. Plantain would be the best future addition because it changes how the crop is used: starchier fruit, cooked as a staple food, with a stronger food-processing identity than another dessert cultivar.</t>
  </si>
  <si>
    <t>African Baobab</t>
  </si>
  <si>
    <t>African Blackwood</t>
  </si>
  <si>
    <t>African Bloodwood</t>
  </si>
  <si>
    <t>Grandidier’s Baobab; Australian Baobab; Fony Baobab</t>
  </si>
  <si>
    <t>Grandidier’s Baobab</t>
  </si>
  <si>
    <t>African Baobab already owns the family’s unusual swollen-trunk identity. Grandidier’s Baobab would be the strongest future addition because of its extremely tall, columnar form and iconic Madagascar look.</t>
  </si>
  <si>
    <t>American Basswood</t>
  </si>
  <si>
    <t>American Beech</t>
  </si>
  <si>
    <t>American Chestnut</t>
  </si>
  <si>
    <t>Littleleaf Linden; Silver Linden; Large-leaved Linden</t>
  </si>
  <si>
    <t>Littleleaf Linden</t>
  </si>
  <si>
    <t>American Basswood already covers the family’s strong pollinator/honey-tree identity. Littleleaf Linden would be the best future addition because it offers a more compact, urban/ornamental form and strong fragrant flowering without duplicating the exact growth habit.</t>
  </si>
  <si>
    <t>European Beech; Copper Beech; Oriental Beech; Japanese Beech</t>
  </si>
  <si>
    <t>Copper Beech</t>
  </si>
  <si>
    <t>American Beech already covers the family’s wildlife/mast role. Copper Beech would add a dramatically different purple-burgundy foliage look and a much stronger ornamental identity rather than simply duplicating another temperate beech.</t>
  </si>
  <si>
    <t>River Birch; Yellow Birch; Silver Birch; Sweet Birch; Dwarf Birch</t>
  </si>
  <si>
    <t>River Birch</t>
  </si>
  <si>
    <t>River Birch gives the vanilla Birch family a clearly different ecology and bark appearance, favouring riverbanks and wet soils rather than simply being another pale-barked forest birch.</t>
  </si>
  <si>
    <t>Australian Blackwood; Burmese Blackwood / Dalbergia relatives</t>
  </si>
  <si>
    <t>Australian Blackwood</t>
  </si>
  <si>
    <t>African Blackwood already owns the ultra-dense, dark luxury-timber niche. Australian Blackwood would add a lighter, golden-brown figured timber and a very different geographic/ecological identity, but it doesn’t fill an urgent gameplay gap.</t>
  </si>
  <si>
    <t>Australian Bloodwood; Red Bloodwood; Yellow Bloodwood</t>
  </si>
  <si>
    <t>Red Bloodwood</t>
  </si>
  <si>
    <t>African Bloodwood already carries the family’s striking red exudate/resin identity. Red Bloodwood would be the strongest future reserve for a different timber tone and regional ecology, but it doesn’t add an urgent new system.</t>
  </si>
  <si>
    <t>Criollo; Forastero; Trinitario</t>
  </si>
  <si>
    <t>Criollo</t>
  </si>
  <si>
    <t xml:space="preserve">	Cacao already has a uniquely strong trunk-fruiting and fermentation/processing identity. Criollo would be the best future cultivar because it is associated with higher-quality beans and could support flavour/quality differences if Fruit Fun ever models crop quality.</t>
  </si>
  <si>
    <t>African Sandalwood; Barwood / related red-dye woods</t>
  </si>
  <si>
    <t>African Sandalwood</t>
  </si>
  <si>
    <t>Camwood already owns the family’s red dye/pigment identity. A future related aromatic wood would be more worthwhile if it introduced fragrance, incense, or perfume-style processing instead of duplicating the dye niche.</t>
  </si>
  <si>
    <t>Marblewood; Gonçalo Alves / Tigerwood; other Centrolobium relatives</t>
  </si>
  <si>
    <t>Marblewood</t>
  </si>
  <si>
    <t>Canarywood already covers the bright yellow decorative-timber niche. Marblewood would be a good future companion because of its dramatic dark striping and figured appearance, but it doesn’t add an urgent new mechanic.</t>
  </si>
  <si>
    <t>Eastern White Cedar</t>
  </si>
  <si>
    <t>Underrepresented</t>
  </si>
  <si>
    <t>Western Red Cedar; Atlas Cedar; Lebanon Cedar; Deodar Cedar</t>
  </si>
  <si>
    <t>Western Red Cedar</t>
  </si>
  <si>
    <t>Eastern White Cedar already covers wetland ecology. Western Red Cedar adds a much larger coastal forest species with highly aromatic, naturally decay-resistant timber that is strongly associated with shingles, siding, outdoor construction, and carving.</t>
  </si>
  <si>
    <t>Japanese Flowering Cherry</t>
  </si>
  <si>
    <t>Sweet Cherry; Sour Cherry; Black Cherry; Yoshino Cherry; Kwanzan Cherry</t>
  </si>
  <si>
    <t>Japanese Flowering Cherry already covers the ornamental blossom niche. Sweet Cherry adds a true fruit-producing orchard tree, giving the family a completely different gameplay role rather than another decorative flowering variant.</t>
  </si>
  <si>
    <t>Chinese Chestnut; European Chestnut / Sweet Chestnut; Japanese Chestnut</t>
  </si>
  <si>
    <t>Chinese Chestnut</t>
  </si>
  <si>
    <t>American Chestnut already covers the iconic North American forest/nut role. Chinese Chestnut adds a smaller, more blight-resistant orchard-oriented counterpart and gives future disease systems a meaningful contrast within the same family.</t>
  </si>
  <si>
    <t>Ceylon Cinnamon; Cassia; Saigon Cinnamon; Indonesian Cinnamon</t>
  </si>
  <si>
    <t>Ceylon Cinnamon</t>
  </si>
  <si>
    <t>Core Cinnamon already covers the bark-harvest spice niche. Future variants become worthwhile if cooking systems distinguish flavour strength, quality, or processing characteristics. Ceylon Cinnamon is the best prestige/quality reserve.</t>
  </si>
  <si>
    <t>Lemon; Lime; Sweet Orange; Grapefruit</t>
  </si>
  <si>
    <t>Mandarin; Pomelo; Citron; Bergamot; Blood Orange</t>
  </si>
  <si>
    <t>Mandarin</t>
  </si>
  <si>
    <t>Citrus is already well represented across sour, sweet, and grapefruit-type fruit. Mandarin is the strongest future addition because it adds a clearly distinct small, easy-peeling fruit type rather than just another orange-like cultivar.</t>
  </si>
  <si>
    <t>Eastern Cottonwood; Black Cottonwood; Fremont Cottonwood; Lombardy Poplar</t>
  </si>
  <si>
    <t>Black Cottonwood</t>
  </si>
  <si>
    <t xml:space="preserve">	The current generic Cottonwood/Poplar entry covers fast growth, but Black Cottonwood would add a large Pacific riparian tree with a different regional identity and useful timber.</t>
  </si>
  <si>
    <t>Sweet Crabapple</t>
  </si>
  <si>
    <t>Dolgo Crabapple; Siberian Crabapple; Prairie Fire Crabapple; Sargent Crabapple</t>
  </si>
  <si>
    <t>Dolgo Crabapple</t>
  </si>
  <si>
    <t>Sweet Crabapple already covers the ornamental/flowering side. Dolgo Crabapple would add a stronger food-processing identity because its tart fruit is well suited to preserves, jelly, and cider rather than fresh eating.</t>
  </si>
  <si>
    <t>Leyland Cypress; Bald Cypress</t>
  </si>
  <si>
    <t>Italian Cypress; Monterey Cypress; Arizona Cypress; Hinoki Cypress</t>
  </si>
  <si>
    <t>Italian Cypress</t>
  </si>
  <si>
    <t>Leyland already covers fast growth and Bald Cypress covers flooded wetlands. Italian Cypress would add a radically different narrow, vertical silhouette suited to formal landscaping and Mediterranean environments.</t>
  </si>
  <si>
    <t>Socotra Dragon’s Blood</t>
  </si>
  <si>
    <t>Canary Islands Dragon Tree; Cinnabar Dragon Tree relatives; African Dragon Tree</t>
  </si>
  <si>
    <t>Canary Islands Dragon Tree</t>
  </si>
  <si>
    <t>Socotra Dragon’s Blood already owns the red-resin specialist niche. Canary Islands Dragon Tree would add a different giant-monocot silhouette and strong ornamental/heritage identity without duplicating the resin mechanic exactly.</t>
  </si>
  <si>
    <t>Gaboon Ebony</t>
  </si>
  <si>
    <t>Ceylon Ebony; Mun Ebony; Macassar Ebony</t>
  </si>
  <si>
    <t>Macassar Ebony</t>
  </si>
  <si>
    <t xml:space="preserve">	Gaboon Ebony already covers the ultra-dark luxury-timber niche. Macassar Ebony would be the strongest future addition because its dramatic brown-and-black striping gives it a clearly different decorative appearance rather than just “another black wood”.</t>
  </si>
  <si>
    <t>American Elm</t>
  </si>
  <si>
    <t>English Elm; Siberian Elm; Chinese Elm; Slippery Elm</t>
  </si>
  <si>
    <t>Chinese Elm</t>
  </si>
  <si>
    <t>American Elm covers the classic large vase-shaped temperate tree. Chinese Elm adds a much smaller, denser ornamental form with mottled/exfoliating bark and a very different silhouette.</t>
  </si>
  <si>
    <t>Silver Ethereal</t>
  </si>
  <si>
    <t>Azure Ethereal; Golden Ethereal; Verdant Ethereal; Violet Ethereal</t>
  </si>
  <si>
    <t>Golden Ethereal</t>
  </si>
  <si>
    <t>Silver Ethereal already establishes the family as a magical sap-producing tree. Future variants should each provide a distinct sap or magical by-product rather than functioning as simple recolours. Golden Ethereal could specialise in a light/solar or high-value alchemical sap.</t>
  </si>
  <si>
    <t>Blue Gum; River Red Gum; Snow Gum; Lemon-scented Gum</t>
  </si>
  <si>
    <t>River Red Gum</t>
  </si>
  <si>
    <t>Rainbow Eucalyptus already covers the spectacular bark/ornamental niche. River Red Gum would add a major Australian riparian tree adapted to floodplains and intermittent flooding, giving the group a much more ecological/resource-focused second representative.</t>
  </si>
  <si>
    <t>Rainbow Eucalyptus</t>
  </si>
  <si>
    <t>Florida Strangler Fig</t>
  </si>
  <si>
    <t>Common Fig; Banyan; Weeping Fig; Sacred Fig</t>
  </si>
  <si>
    <t>Common Fig</t>
  </si>
  <si>
    <t xml:space="preserve">	Strangler Fig already covers the bizarre hemiepiphytic/aerial-root growth form. Common Fig adds the classic edible fig crop, giving the family a completely different agricultural role.</t>
  </si>
  <si>
    <t>Douglas Fir; Balsam Fir</t>
  </si>
  <si>
    <t>Fraser Fir; Noble Fir; Grand Fir; White Fir</t>
  </si>
  <si>
    <t>Fraser Fir</t>
  </si>
  <si>
    <t>Douglas Fir covers fire-adapted structural timber, while Balsam Fir covers boreal cold and balsam resin. Fraser Fir would add a compact high-elevation true fir with a distinct mountain/ornamental identity rather than duplicating either role.Douglas Fir covers fire-adapted structural timber, while Balsam Fir covers boreal cold and balsam resin. Fraser Fir would add a compact high-elevation true fir with a distinct mountain/ornamental identity rather than duplicating either role.</t>
  </si>
  <si>
    <t>Ashen Hellblade; Crimson Hellblade; Void Hellblade; Ember Hellblade</t>
  </si>
  <si>
    <t>Demonspur Hellblade</t>
  </si>
  <si>
    <t>Ashen Hellblade</t>
  </si>
  <si>
    <t>Demonspur Hellblade already establishes the family as dangerous, thorned magical sap trees. Future variants should differ through environmental hazard or resource behaviour rather than simple recolours. Ashen Hellblade could specialise in scorched, fire-adapted or ash-producing mechanics.</t>
  </si>
  <si>
    <t>Western Hemlock; Mountain Hemlock; Carolina Hemlock</t>
  </si>
  <si>
    <t>Eastern Hemlock</t>
  </si>
  <si>
    <t>Western Hemlock</t>
  </si>
  <si>
    <t>Eastern Hemlock covers cool, shaded eastern forests. Western Hemlock adds a much larger Pacific coastal species strongly tied to temperate rainforest and commercial softwood forestry, giving the family both geographic and gameplay contrast.</t>
  </si>
  <si>
    <t>Shagbark Hickory; Pecan Hickory</t>
  </si>
  <si>
    <t>Shellbark Hickory; Bitternut Hickory; Mockernut Hickory; Pignut Hickory</t>
  </si>
  <si>
    <t>Shellbark Hickory</t>
  </si>
  <si>
    <t xml:space="preserve">	Shagbark already covers the tough hickory timber identity, while Pecan Hickory covers the nut crop. Shellbark would be the strongest future addition because it combines very large edible nuts with a distinctive shaggy bark and a somewhat different woodland identity.</t>
  </si>
  <si>
    <t>Hura polyandra / Mexican Sandbox Tree</t>
  </si>
  <si>
    <t>Mexican Sandbox Tree</t>
  </si>
  <si>
    <t>Sandbox Tree already gives Hura its strongest identity through violently explosive seed capsules and unusual defensive traits. A second Hura species would mainly add geographic variation rather than a new gameplay system.</t>
  </si>
  <si>
    <t>None needed currently</t>
  </si>
  <si>
    <t>Pink Ivory already has an exceptionally strong rare-luxury timber identity through its naturally pink to reddish heartwood. Adding another close relative would likely dilute the uniqueness unless it introduced a very different material or ecological role.</t>
  </si>
  <si>
    <t>Sabará; Paulista; Rajada</t>
  </si>
  <si>
    <t>Sabará</t>
  </si>
  <si>
    <t>The existing Jabuticaba already owns the family’s wildest mechanic: cauliflory, with fruit growing directly from the trunk and major branches. Future cultivars only become worthwhile if Fruit Fun models fruit size, yield, harvest timing, or flavour differences.</t>
  </si>
  <si>
    <t>Blue Jacaranda</t>
  </si>
  <si>
    <t>White-flowering Jacaranda; Jacaranda copaia; related Jacaranda species</t>
  </si>
  <si>
    <t>White-flowering Jacaranda</t>
  </si>
  <si>
    <t>Blue Jacaranda already owns the family’s spectacular flowering/ornamental identity. A white-flowering form would be the strongest future reserve for visual contrast, but it does not add an urgent new gameplay system.</t>
  </si>
  <si>
    <t>Common Juniper; Rocky Mountain Juniper; Utah Juniper; Alligator Juniper</t>
  </si>
  <si>
    <t>Common Juniper</t>
  </si>
  <si>
    <t>Eastern Redcedar already covers the tall tree-form juniper and wildlife habitat niche. Common Juniper adds a much lower, more variable shrubby growth form and its berry-like cones could support culinary, flavouring, or medicinal-resource systems.</t>
  </si>
  <si>
    <t>Eastern Redcedar</t>
  </si>
  <si>
    <t>Silk-cotton tree relatives / Ceiba variants</t>
  </si>
  <si>
    <t>None urgent</t>
  </si>
  <si>
    <t>Kapok already has a strong identity through its huge buttressed trunk, rainforest-emergent stature, and fibre-filled seed pods. A second close relative would mostly duplicate the same visual/ecological role unless it introduced a distinct resource or growth form.</t>
  </si>
  <si>
    <t>Queensland Kauri; New Caledonian Kauri; other Agathis species</t>
  </si>
  <si>
    <t>Queensland Kauri</t>
  </si>
  <si>
    <t>New Zealand Kauri already covers the massive ancient conifer identity and kauri gum/resin resource. Queensland Kauri would be the strongest future addition for a warmer rainforest counterpart, but it does not add an urgent new gameplay system.</t>
  </si>
  <si>
    <t>European Larch; Japanese Larch; Western Larch; Siberian Larch</t>
  </si>
  <si>
    <t>Western Larch</t>
  </si>
  <si>
    <t>Tamarack already covers the cold wetland/boreal deciduous-conifer niche. Western Larch adds a much larger, drier mountain-forest counterpart with valuable timber and a very different silhouette/ecology.</t>
  </si>
  <si>
    <t>Roughbark Lignum Vitae; Argentine Lignum Vitae</t>
  </si>
  <si>
    <t>Holywood / Guaiacum sanctum; Vera Wood relatives</t>
  </si>
  <si>
    <t>Holywood / Guaiacum sanctum</t>
  </si>
  <si>
    <t xml:space="preserve">	Roughbark already covers the ultra-dense wood niche, while Argentine Lignum Vitae covers naturally oily/self-lubricating timber. A third variant should only be added if it brings a distinct medicinal, resinous, or cultural identity rather than just more extreme-density wood.</t>
  </si>
  <si>
    <t>Honduran Mahogany</t>
  </si>
  <si>
    <t>Cuban Mahogany; African Mahogany; Philippine Mahogany</t>
  </si>
  <si>
    <t>Cuban Mahogany</t>
  </si>
  <si>
    <t>Honduran Mahogany already covers the classic luxury hardwood role. Cuban Mahogany would add an even more historic, highly prized fine-furniture and shipbuilding identity, giving the family a stronger old-world craftsmanship angle.</t>
  </si>
  <si>
    <t>Mountain Mahoe; Seaside Mahoe; related Hibiscus/Talipariti species</t>
  </si>
  <si>
    <t>Seaside Mahoe</t>
  </si>
  <si>
    <t>Blue Mahoe already covers the family’s distinctive decorative timber niche. Seaside Mahoe would be the strongest future addition because it adds a more explicitly coastal, salt-tolerant identity rather than just another colourful wood.</t>
  </si>
  <si>
    <t>Red Mangrove</t>
  </si>
  <si>
    <t>Red Quebracho</t>
  </si>
  <si>
    <t>Black Mangrove; White Mangrove; Buttonwood</t>
  </si>
  <si>
    <t>Black Mangrove</t>
  </si>
  <si>
    <t>Red Mangrove already covers prop-root, salt-tolerant coastal wetlands. Black Mangrove adds a very different adaptation with pneumatophores (“breathing roots”) projecting from the mud, making the family mechanically and visually richer rather than redundant.</t>
  </si>
  <si>
    <t>Red Maple; Sugar Maple; Boxelder Maple</t>
  </si>
  <si>
    <t>Silver Maple; Bigleaf Maple; Japanese Maple; Norway Maple; Black Maple</t>
  </si>
  <si>
    <t>Bigleaf Maple</t>
  </si>
  <si>
    <t>Current maples already cover seasonal colour, sap production, and fast growth. Bigleaf Maple adds a much larger-leaved western species with a distinct Pacific forest identity and different timber character, making it more than just another syrup tree.</t>
  </si>
  <si>
    <t>Midnight Moonwood</t>
  </si>
  <si>
    <t>Silver Moonwood; Crescent Moonwood; Eclipse Moonwood; Dawn Moonwood</t>
  </si>
  <si>
    <t>Eclipse Moonwood</t>
  </si>
  <si>
    <t>Midnight Moonwood already establishes the family as nocturnal/time-sensitive magical trees. Eclipse Moonwood could deepen that identity with effects tied to dusk, moon phase, or rare celestial conditions rather than being a simple recolour.</t>
  </si>
  <si>
    <t>Northern Red Oak; White Oak; Black Oak; Cork Oak; Southern Live Oak; Jurupa Oak</t>
  </si>
  <si>
    <t>Bur Oak; English Oak; Pin Oak; Willow Oak; Swamp White Oak</t>
  </si>
  <si>
    <t>Bur Oak</t>
  </si>
  <si>
    <t>Oak is already one of the strongest families in the roster, with timber, evergreen, cork, longevity, dye and temperate-forest roles covered. Bur Oak is the best future addition because it adds a very different open-country/prairie form, extreme hardiness and oversized acorns.</t>
  </si>
  <si>
    <t>European Olive</t>
  </si>
  <si>
    <t>European Plum</t>
  </si>
  <si>
    <t>European Rowan</t>
  </si>
  <si>
    <t>Arbequina; Kalamata; Mission; Wild Olive</t>
  </si>
  <si>
    <t>Wild Olive</t>
  </si>
  <si>
    <t>European Olive already covers the oil-producing orchard niche. Wild Olive would add a tougher, more naturalised Mediterranean woodland form with smaller fruit and a stronger ecological identity.</t>
  </si>
  <si>
    <t>Maclura species could be considered later</t>
  </si>
  <si>
    <t>Osage Orange already has a strong identity through extremely durable wood, bright yellow dye potential, and its huge distinctive fruit. A close relative would need a genuinely different mechanic to justify another slot.</t>
  </si>
  <si>
    <t>Royal Palm; Coconut Palm; Date Palm; Walking Palm</t>
  </si>
  <si>
    <t>Oil Palm; Fan Palm; Canary Island Date Palm; Doum Palm</t>
  </si>
  <si>
    <t>Oil Palm</t>
  </si>
  <si>
    <t>Current palms already cover ornamental landscaping, tropical food/material use, and desert agriculture. Oil Palm is the strongest future addition because it adds a major processing-resource niche rather than just another visual palm form.</t>
  </si>
  <si>
    <t>Eastern White Pine; Great Basin Bristlecone Pine</t>
  </si>
  <si>
    <t>Whitebark Pine; Mugo Pine; Ponderosa Pine; Lodgepole Pine; Jack Pine; Stone Pine</t>
  </si>
  <si>
    <t>Whitebark Pine</t>
  </si>
  <si>
    <t>Eastern White Pine covers structural timber while Great Basin Bristlecone Pine covers extreme longevity. Whitebark Pine adds a true high-elevation treeline specialist, filling the remaining Mountain / Alpine hook and giving Pine a major ecological role not yet represented.</t>
  </si>
  <si>
    <t>Japanese Plum; Damson; Greengage; Mirabelle</t>
  </si>
  <si>
    <t>Damson</t>
  </si>
  <si>
    <t>European Plum already covers the general fresh-fruit orchard role. Damson would add a smaller, much tarter fruit better suited to jams, preserves, sauces and cooking, giving the family a stronger processing identity rather than merely another eating plum.</t>
  </si>
  <si>
    <t>Nazareno Purpleheart</t>
  </si>
  <si>
    <t>Amaranth / other Peltogyne species</t>
  </si>
  <si>
    <t>Nazareno Purpleheart already completely owns the family’s vivid purple luxury-timber identity. Another close relative would mostly duplicate the same visual/material niche unless it introduced a genuinely different ecology or resource.</t>
  </si>
  <si>
    <t>White Quebracho; related quebracho species</t>
  </si>
  <si>
    <t>White Quebracho</t>
  </si>
  <si>
    <t>Red Quebracho already owns the ultra-hard, ultra-dense “axe-breaker” timber niche. White Quebracho would be the best future counterpart because it differs in wood character and ecology rather than simply being another impossibly hard red wood.</t>
  </si>
  <si>
    <t>American Mountain Ash</t>
  </si>
  <si>
    <t>European Rowan; Showy Mountain Ash; Korean Mountain Ash</t>
  </si>
  <si>
    <t>American Mountain Ash already covers the wildlife-value and berry-cluster identity. European Rowan would be the strongest future reserve because it adds a classic Old World ornamental/folkloric identity without changing the family’s core gameplay much.</t>
  </si>
  <si>
    <t>Panama Rubber Tree; Ceara Rubber Tree; India Rubber Tree</t>
  </si>
  <si>
    <t>Panama Rubber Tree</t>
  </si>
  <si>
    <t>Pará Rubber already completely covers the core latex-tapping and natural-rubber production niche. Panama Rubber Tree would be the strongest future alternative for geographic and biological variety, but another rubber species is unnecessary until the latex system itself becomes deeper.</t>
  </si>
  <si>
    <t>Common Sapodilla</t>
  </si>
  <si>
    <t>Pará Rubber</t>
  </si>
  <si>
    <t>Common Sapodilla already has a strong dual identity through edible fruit and chicle-producing latex. Future cultivars are only really worth adding if Fruit Fun models fruit quality, size, yield, or ripening differences.</t>
  </si>
  <si>
    <t>Hasya; Alano; Makok; Prolific</t>
  </si>
  <si>
    <t>Hasya</t>
  </si>
  <si>
    <t>Coast Redwood; Giant Sequoia; Dawn Redwood</t>
  </si>
  <si>
    <t>No urgent additions</t>
  </si>
  <si>
    <t>The group already covers towering coastal forests, massive old-growth trunks, and deciduous-conifer phenology. It is unusually complete both visually and ecologically.</t>
  </si>
  <si>
    <t>Letterwood; related Brosimum species</t>
  </si>
  <si>
    <t>Letterwood</t>
  </si>
  <si>
    <t>Snakewood already has one of the strongest figured-timber identities in the roster, with dramatic dark markings over reddish-brown heartwood. Letterwood would be the best future relative if we want another highly figured luxury timber, but there’s no urgent gameplay gap.</t>
  </si>
  <si>
    <t>Norway Spruce; Sitka Spruce</t>
  </si>
  <si>
    <t>Black Spruce; White Spruce; Blue Spruce; Engelmann Spruce</t>
  </si>
  <si>
    <t>Norway Spruce covers mainstream softwood forestry and Sitka Spruce covers coastal temperate rainforest. Black Spruce adds a distinctly boreal, cold, boggy specialist that thrives where many larger spruces do not.</t>
  </si>
  <si>
    <t>Staghorn Sumac</t>
  </si>
  <si>
    <t>Smooth Sumac; Winged Sumac; Fragrant Sumac</t>
  </si>
  <si>
    <t>Smooth Sumac</t>
  </si>
  <si>
    <t>Black Spruce then Blue Spruce</t>
  </si>
  <si>
    <t>Staghorn Sumac already covers the family’s vivid autumn colour, red fruit clusters, and thicket-forming identity. Smooth Sumac would be the best future reserve for a slightly different form and broader regional representation, but there’s no urgent gameplay gap.</t>
  </si>
  <si>
    <t>American Sycamore</t>
  </si>
  <si>
    <t>London Plane; California Sycamore; Oriental Plane</t>
  </si>
  <si>
    <t>California Sycamore</t>
  </si>
  <si>
    <t>American Sycamore already covers floodplain/riparian habitat in eastern North America. California Sycamore would add a western dry-river and canyon counterpart with similarly dramatic mottled bark but a very different climate context.</t>
  </si>
  <si>
    <t>Eastern Black Walnut; White Walnut / Butternut, Heartnut</t>
  </si>
  <si>
    <t>English Walnut; Arizona Walnut; Japanese Walnut</t>
  </si>
  <si>
    <t>English Walnut</t>
  </si>
  <si>
    <t>Black Walnut already covers allelopathy/chemical defence, while Butternut covers the nut role. English Walnut adds the classic cultivated orchard walnut and gives the family a stronger agricultural identity rather than another wild forest species.</t>
  </si>
  <si>
    <t>Panga Panga; related Millettia species</t>
  </si>
  <si>
    <t>Panga Panga</t>
  </si>
  <si>
    <t>Wenge already covers the very dark, strongly striped luxury-timber niche. Panga Panga would be the best future relative because it offers a similar but distinct dark figured wood, though it does not add an urgent gameplay mechanic.</t>
  </si>
  <si>
    <t>Weeping Willow</t>
  </si>
  <si>
    <t>White Willow; Black Willow; Crack Willow; Pussy Willow</t>
  </si>
  <si>
    <t>Black Willow</t>
  </si>
  <si>
    <t>Weeping Willow already covers the iconic ornamental form and medicinal bark angle. Black Willow would add a native riverbank/floodplain willow with a more natural wild-tree identity and useful flexible wood.</t>
  </si>
  <si>
    <t>No compelling modern variant</t>
  </si>
  <si>
    <t>Wollemi Pine already completely owns the ancient “living fossil” identity with its distinctive bark, unusual branching, and heritage value. Adding another close analogue would weaken how special it feels.</t>
  </si>
  <si>
    <t>Related Euxylophora / yellow-timber species only if one adds a distinct mechanic</t>
  </si>
  <si>
    <t>Yellowheart already owns the vivid natural yellow luxury-timber niche. A close relative would mostly duplicate the same visual/material identity unless it introduced a very different resource or ecology.</t>
  </si>
  <si>
    <t>Pacific Yew</t>
  </si>
  <si>
    <t>English Yew; Japanese Yew; Canadian Yew</t>
  </si>
  <si>
    <t>Pacific Yew already covers medicinal/special-resource value. English Yew adds a very different cultural and material identity through extreme longevity, ancient churchyard specimens, and historically important bow wood.</t>
  </si>
  <si>
    <t>English Yew</t>
  </si>
  <si>
    <t>Soaptree Yucca; Mojave Yucca; Banana Yucca</t>
  </si>
  <si>
    <t>Soaptree Yucca</t>
  </si>
  <si>
    <t>Joshua Tree already covers the large desert tree-like monocot niche. Soaptree Yucca would add a smaller fibrous resource plant with roots historically used for soap, making it mechanically distinct rather than another Joshua-like form.</t>
  </si>
  <si>
    <t>Crown Zombibark</t>
  </si>
  <si>
    <t>Rotroot Zombibark; Spore Zombibark; Hollow Zombibark; Blight Zombibark</t>
  </si>
  <si>
    <t>Rotroot Zombibark</t>
  </si>
  <si>
    <t>Crown Zombibark establishes the family around undead trees that require unusual destruction methods. Rotroot could survive through an underground root-heart after the visible trunk is destroyed, extending the family through different “how do I actually kill this bastard?” mechanics.</t>
  </si>
  <si>
    <t>Endertree</t>
  </si>
  <si>
    <t>Sneaker</t>
  </si>
  <si>
    <t>Twisted</t>
  </si>
  <si>
    <t xml:space="preserve">Skeletal </t>
  </si>
  <si>
    <t>Dunstarata</t>
  </si>
  <si>
    <t>River</t>
  </si>
  <si>
    <t>Western Red</t>
  </si>
  <si>
    <t>Chinese</t>
  </si>
  <si>
    <t>Western</t>
  </si>
  <si>
    <t>Cuban</t>
  </si>
  <si>
    <t>Bigleaf</t>
  </si>
  <si>
    <t>Whitebark</t>
  </si>
  <si>
    <t>California</t>
  </si>
  <si>
    <t>English</t>
  </si>
  <si>
    <t>Skeletal</t>
  </si>
  <si>
    <t>Alnus alnobetula</t>
  </si>
  <si>
    <t>Boreal / Subalpine / Mountain Slopes / Tundra Edge</t>
  </si>
  <si>
    <t>Dense multi-stemmed shrub or small tree forming spreading thickets</t>
  </si>
  <si>
    <t>Bark, Green Alder Cones, Green Alder Seeds</t>
  </si>
  <si>
    <t>Nitrogen-fixing roots; tolerates cold exposed sites and can spread into dense shrubby thickets</t>
  </si>
  <si>
    <t>Green Alder Tree</t>
  </si>
  <si>
    <t>green_alder_tree</t>
  </si>
  <si>
    <t>Cold-hardy shrubby alder of boreal and subalpine environments. Often forms dense multi-stemmed thickets rather than a conventional single-trunk tree. Like other alders, its nitrogen-fixing roots can improve poor soils, making it useful for ecological succession and disturbed mountain terrain.</t>
  </si>
  <si>
    <t>Betula nigra</t>
  </si>
  <si>
    <t>Temperate Riparian / Floodplain / Wet Lowland</t>
  </si>
  <si>
    <t>Often multi-trunked or low-branching with an irregular rounded crown</t>
  </si>
  <si>
    <t>Bark, Birch Seeds, Timber</t>
  </si>
  <si>
    <t>Strong tolerance for wet soils and periodic flooding; distinctive peeling bark in tan, salmon, cream, and reddish tones</t>
  </si>
  <si>
    <t>River Birch Tree</t>
  </si>
  <si>
    <t>river_birch_tree</t>
  </si>
  <si>
    <t>Riparian birch adapted to riverbanks, floodplains and wet soils. Unlike the pale white bark of Paper Birch, River Birch develops curling, exfoliating bark in warm tan, salmon and reddish-brown tones, giving it a very different visual identity.</t>
  </si>
  <si>
    <t>Thuja plicata</t>
  </si>
  <si>
    <t>Tall straight trunk with buttressed base and dense drooping sprays of scale-like foliage</t>
  </si>
  <si>
    <t>Bark, Cedar Cones, Cedar Seeds, Timber</t>
  </si>
  <si>
    <t>Aromatic, naturally decay-resistant timber well suited to outdoor construction; thrives in cool wet coastal forests</t>
  </si>
  <si>
    <t>Western Red Cedar Tree</t>
  </si>
  <si>
    <t>western_red_cedar_tree</t>
  </si>
  <si>
    <t>Large Pacific coastal conifer with aromatic, naturally decay-resistant wood. Historically and practically valuable for shingles, siding, carving and outdoor structures. Distinct from Eastern White Cedar through its much larger size, coastal-rainforest ecology and reddish timber.</t>
  </si>
  <si>
    <t>Prunus avium</t>
  </si>
  <si>
    <t>Temperate Orchard / Woodland Edge</t>
  </si>
  <si>
    <t>Upright trunk with broad rounded crown; spreading branches on mature trees</t>
  </si>
  <si>
    <t>Sweet Cherries, Cherry Pits / Seeds, Bark, Timber</t>
  </si>
  <si>
    <t>Produces edible sweet cherries after spring flowering; useful as both an orchard crop and timber tree</t>
  </si>
  <si>
    <t>Sweet Cherry Tree</t>
  </si>
  <si>
    <t>sweet_cherry_tree</t>
  </si>
  <si>
    <t>Temperate fruit tree producing sweet edible cherries after a spring blossom period. Complements Japanese Flowering Cherry by giving the Cherry family a true food-producing orchard species while still providing useful reddish-brown timber.</t>
  </si>
  <si>
    <t>Castanea mollissima</t>
  </si>
  <si>
    <t>Temperate Woodland / Orchard</t>
  </si>
  <si>
    <t>Broad rounded crown with spreading branches; generally smaller and more orchard-friendly than American Chestnut</t>
  </si>
  <si>
    <t>Chestnuts, Chestnut Burrs, Seeds, Bark, Timber</t>
  </si>
  <si>
    <t>Much greater resistance to chestnut blight; productive nut tree with strong orchard potential</t>
  </si>
  <si>
    <t>Chinese Chestnut Tree</t>
  </si>
  <si>
    <t>chinese_chestnut_tree</t>
  </si>
  <si>
    <t>Temperate chestnut with strong resistance to chestnut blight and a more compact orchard-oriented form than American Chestnut. Produces edible nuts inside spiny burrs and offers a natural contrast for future tree-disease and breeding systems.</t>
  </si>
  <si>
    <t>Populus trichocarpa</t>
  </si>
  <si>
    <t>Temperate Riparian / Pacific Northwest / Moist Lowlands</t>
  </si>
  <si>
    <t>Tall straight trunk with broad open crown; often found in river valleys and other moist sites</t>
  </si>
  <si>
    <t>Bark, Cottonwood Seeds, Timber</t>
  </si>
  <si>
    <t>Very fast-growing riparian tree; produces abundant cottony wind-dispersed seeds and can become one of the largest poplars</t>
  </si>
  <si>
    <t>Black Cottonwood Tree</t>
  </si>
  <si>
    <t>black_cottonwood_tree</t>
  </si>
  <si>
    <t>Large, fast-growing Pacific cottonwood strongly associated with river valleys and moist lowlands. Produces masses of cottony wind-dispersed seeds and provides a larger western counterpart to the more generic Cottonwood/Poplar entry.</t>
  </si>
  <si>
    <t>Dontus starus</t>
  </si>
  <si>
    <t xml:space="preserve">Tall, wood-like trunk </t>
  </si>
  <si>
    <t>Endfruit, Endflower, Endseeds, Eye of Ender *</t>
  </si>
  <si>
    <t>Dunstarata Endertree</t>
  </si>
  <si>
    <t>dunstarata_endertree</t>
  </si>
  <si>
    <t>Ulmus parvifolia</t>
  </si>
  <si>
    <t>Warm Temperate / Urban / Woodland Edge</t>
  </si>
  <si>
    <t>Compact rounded crown with fine branching and often a multi-trunked or low-branching form</t>
  </si>
  <si>
    <t>Bark, Elm Seeds, Timber</t>
  </si>
  <si>
    <t>Distinctive exfoliating mottled bark in grey, tan, orange, and greenish tones; compact form makes it useful for ornamental planting</t>
  </si>
  <si>
    <t>Chinese Elm Tree</t>
  </si>
  <si>
    <t>Smaller ornamental elm with fine branching and distinctive exfoliating bark that creates a mottled multi-colour trunk. Provides a strong visual contrast to the larger vase-shaped American Elm.</t>
  </si>
  <si>
    <t>Teleportation / Spatial Behaviour</t>
  </si>
  <si>
    <t>Fibrous adventitious root system instead of a deep taproot; extremely rare chance to yield an Eye of Ender when harvested.</t>
  </si>
  <si>
    <t>Alien desert-adapted tree-like monocot associated with End energy and spatial instability. Produces Endfruit, Endflowers, and Endseeds; harvesting has an extremely small chance to yield an Eye of Ender. Future variants should expand on teleportation and spatial behaviours rather than simple visual recolours. Dunstarata behaviour concept: staring at a mature tree for too long can trigger a short-range safe teleport, with subtle End particles as a warning cue.</t>
  </si>
  <si>
    <t>Ficus carica</t>
  </si>
  <si>
    <t>Warm Temperate / Mediterranean / Subtropical</t>
  </si>
  <si>
    <t>Low branching, broad spreading crown, often multi-stemmed</t>
  </si>
  <si>
    <t>Figs, Fig Seeds, Latex, Timber</t>
  </si>
  <si>
    <t>Produces edible figs and exudes milky latex when cut; thrives in hot, dry climates once established</t>
  </si>
  <si>
    <t>Common Fig Tree</t>
  </si>
  <si>
    <t>common_fig_tree</t>
  </si>
  <si>
    <t>Classic edible fig tree of warm temperate and Mediterranean climates. Broad, low-growing form contrasts strongly with the Strangler Fig’s aerial-root growth habit. Produces edible figs and milky latex, giving the Fig family both orchard and wild-jungle identities.</t>
  </si>
  <si>
    <t>Eucalyptus camaldulensis</t>
  </si>
  <si>
    <t>Warm Temperate / Subtropical Riparian / Floodplain / River Corridors</t>
  </si>
  <si>
    <t>Tall trunk with broad irregular crown; often develops large spreading limbs along waterways</t>
  </si>
  <si>
    <t>Bark, Eucalyptus Seeds, Timber, Leaves</t>
  </si>
  <si>
    <t>Strongly associated with rivers and floodplains; tolerates periodic flooding and dry conditions between floods</t>
  </si>
  <si>
    <t>River Red Gum Eucalyptus Tree</t>
  </si>
  <si>
    <t>river_red_gum_eucalyptus_tree</t>
  </si>
  <si>
    <t>Large Australian riparian eucalyptus strongly tied to river systems and floodplains. Can tolerate periodic inundation followed by long dry spells, giving it a very different ecological identity from Rainbow Eucalyptus. Mature trees often develop broad spreading crowns and substantial trunks.</t>
  </si>
  <si>
    <t>Tsuga heterophylla</t>
  </si>
  <si>
    <t>Tall straight trunk with narrow crown, drooping leader, and fine layered branches</t>
  </si>
  <si>
    <t>Bark, Hemlock Cones, Hemlock Seeds, Timber</t>
  </si>
  <si>
    <t>Thrives in very moist coastal forests and heavy shade; highly shade-tolerant and capable of establishing beneath mature forest canopy</t>
  </si>
  <si>
    <t>Western Hemlock Tree</t>
  </si>
  <si>
    <t>western_hemlock_tree</t>
  </si>
  <si>
    <t>Major Pacific Northwest temperate-rainforest conifer with excellent shade tolerance. Commonly grows beneath and eventually into mature forest canopies, giving it a strong layered-forest ecology distinct from Eastern Hemlock.</t>
  </si>
  <si>
    <t>Juniperus communis</t>
  </si>
  <si>
    <t>Boreal / Temperate Heath / Rocky Slopes / Subalpine</t>
  </si>
  <si>
    <t>Low spreading shrub to small irregular tree; often multi-stemmed and dense</t>
  </si>
  <si>
    <t>Juniper Berry-like Cones, Juniper Seeds, Aromatic Wood, Foliage</t>
  </si>
  <si>
    <t>Can remain very low and sprawling in exposed sites; aromatic foliage and berry-like cones provide food/flavouring/resource potential</t>
  </si>
  <si>
    <t>Common Juniper Tree</t>
  </si>
  <si>
    <t>common_juniper_tree</t>
  </si>
  <si>
    <t>Highly variable evergreen juniper ranging from low ground-hugging shrubs to small trees. Berry-like seed cones and strongly aromatic foliage/wood give it both ecological and resource value. Its compact sprawling form contrasts strongly with the taller Eastern Redcedar.</t>
  </si>
  <si>
    <t>Larix occidentalis</t>
  </si>
  <si>
    <t>Cool Temperate / Mountain Forest / Subalpine</t>
  </si>
  <si>
    <t>Tall straight trunk with narrow open crown and layered horizontal branches</t>
  </si>
  <si>
    <t>Bark, Larch Cones, Larch Seeds, Timber</t>
  </si>
  <si>
    <t>Deciduous conifer adapted to mountainous western forests; needles turn golden-yellow before dropping in autumn</t>
  </si>
  <si>
    <t>Western Larch Tree</t>
  </si>
  <si>
    <t>western_larch_tree</t>
  </si>
  <si>
    <t>Large western North American larch of mountain forests. Unlike Tamarack, which favours colder wet lowlands and bogs, Western Larch is a much larger upland timber tree. Its soft green needles turn bright gold in autumn before falling.</t>
  </si>
  <si>
    <t>Swietenia mahagoni</t>
  </si>
  <si>
    <t>Tropical / Subtropical Dry Forest</t>
  </si>
  <si>
    <t>Straight trunk with broad rounded crown; mature trees develop heavy spreading limbs</t>
  </si>
  <si>
    <t>Bark, Mahogany Seeds, Timber</t>
  </si>
  <si>
    <t>Exceptionally prized fine-grained timber with strong historical use in cabinetry, furniture, carving and shipbuilding</t>
  </si>
  <si>
    <t>Cuban Mahogany Tree</t>
  </si>
  <si>
    <t>cuban_mahogany_tree</t>
  </si>
  <si>
    <t>Historic Caribbean mahogany renowned for dense, stable, richly coloured timber used in high-end furniture, cabinetry, carving and shipbuilding. Provides a premium craftsmanship counterpart to Honduran Mahogany.</t>
  </si>
  <si>
    <t>Avicennia germinans</t>
  </si>
  <si>
    <t>Tropical / Subtropical Coastal Wetland / Brackish Mudflat</t>
  </si>
  <si>
    <t>Low to medium tree with dense crown and spreading root system; surrounded by upright pneumatophores</t>
  </si>
  <si>
    <t>Bark, Mangrove Seeds / Propagules, Timber</t>
  </si>
  <si>
    <t>Produces vertical pneumatophores that rise from waterlogged mud to exchange gases; highly salt tolerant and adapted to oxygen-poor coastal soils</t>
  </si>
  <si>
    <t>Black Mangrove Tree</t>
  </si>
  <si>
    <t>black_mangrove_tree</t>
  </si>
  <si>
    <t>Coastal mangrove adapted to saline, oxygen-poor mud. Unlike Red Mangrove’s prop roots, Black Mangrove produces dense fields of pencil-like pneumatophores projecting vertically from the soil, giving it a radically different root architecture and mangrove-zone identity.</t>
  </si>
  <si>
    <t>Acer macrophyllum</t>
  </si>
  <si>
    <t>Cool Temperate / Pacific Coastal Forest / Moist Lowland</t>
  </si>
  <si>
    <t>Broad spreading crown with stout branches and very large leaves</t>
  </si>
  <si>
    <t>Bark, Maple Seeds, Timber, Sap</t>
  </si>
  <si>
    <t>Produces some of the largest leaves of any maple; thrives in moist Pacific coastal forests and can develop massive crowns</t>
  </si>
  <si>
    <t>Bigleaf Maple Tree</t>
  </si>
  <si>
    <t>bigleaf_maple_tree</t>
  </si>
  <si>
    <t>Large western North American maple with enormous leaves and a broad spreading crown. Provides a strong Pacific coastal-forest counterpart to Sugar, Red, and Boxelder Maples while also offering useful timber and limited sap production.</t>
  </si>
  <si>
    <t>Contortus osseus</t>
  </si>
  <si>
    <t>Pinus albicaulis</t>
  </si>
  <si>
    <t>Subalpine / Alpine Treeline / Cold Mountain Slopes</t>
  </si>
  <si>
    <t>Irregular, wind-shaped crown; often gnarled or multi-stemmed near treeline</t>
  </si>
  <si>
    <t>Bark, Whitebark Pine Cones, Seeds, Timber</t>
  </si>
  <si>
    <t>Thrives in harsh high-elevation conditions near treeline; produces large nutrient-rich seeds important to mountain wildlife</t>
  </si>
  <si>
    <t>Whitebark Pine Tree</t>
  </si>
  <si>
    <t>whitebark_pine_tree</t>
  </si>
  <si>
    <t>High-elevation pine of western North American mountain environments, often growing near treeline in cold, windy conditions. Mature trees can become gnarled and asymmetrical from exposure, while their large seeds provide an important food source for wildlife.</t>
  </si>
  <si>
    <t>Monstrum explosivum</t>
  </si>
  <si>
    <t>Green Sneaker Tree</t>
  </si>
  <si>
    <t>green_sneaker_tree</t>
  </si>
  <si>
    <t>Twisted Skeletal Tree</t>
  </si>
  <si>
    <t>twisted_skeletal_tree</t>
  </si>
  <si>
    <t>Picea mariana</t>
  </si>
  <si>
    <t>Boreal / Taiga / Peatland / Bog</t>
  </si>
  <si>
    <t>Narrow spire-like crown with short branches; often stunted on poor or waterlogged sites</t>
  </si>
  <si>
    <t>Bark, Black Spruce Cones, Black Spruce Seeds, Timber</t>
  </si>
  <si>
    <t>Extremely cold-hardy and well adapted to nutrient-poor, acidic, waterlogged boreal soils; can dominate boggy northern forests</t>
  </si>
  <si>
    <t>Black Spruce Tree</t>
  </si>
  <si>
    <t>black_spruce_tree</t>
  </si>
  <si>
    <t>Cold-adapted boreal spruce strongly associated with peatlands, bogs, and nutrient-poor northern soils. Often develops a narrow, spindly form where growing conditions are harsh, giving it a very different silhouette from Norway or Sitka Spruce.</t>
  </si>
  <si>
    <t>Picea pungens</t>
  </si>
  <si>
    <t>Cool Temperate / Mountain Woodland / Subalpine</t>
  </si>
  <si>
    <t>Dense conical crown with stiff horizontal branches and strongly pointed needles</t>
  </si>
  <si>
    <t>Bark, Blue Spruce Cones, Blue Spruce Seeds, Timber</t>
  </si>
  <si>
    <t>Distinctive blue-grey to silvery foliage caused by waxy needle surfaces; highly recognisable ornamental conifer</t>
  </si>
  <si>
    <t>Blue Spruce Tree</t>
  </si>
  <si>
    <t>blue_spruce_tree</t>
  </si>
  <si>
    <t>Mountain spruce with striking blue-grey to silvery foliage and a dense symmetrical crown. Its unusual needle colour makes it one of the most visually distinctive spruces and gives the family a strong ornamental counterpart to Norway, Sitka, and Black Spruce.</t>
  </si>
  <si>
    <t>Resource / Hazard</t>
  </si>
  <si>
    <t>Corrupted / Dead Growth</t>
  </si>
  <si>
    <t>Temperate / Gravel Barrens / Boneyards</t>
  </si>
  <si>
    <t>Uses bones scattered around and beneath it as fuel for growth, incorporating calcium-rich remains into its barkless, skeletal wood.</t>
  </si>
  <si>
    <t>Skeletal Timber, Bones, Bone Seed Pods, Bone Seeds</t>
  </si>
  <si>
    <t>Camouflage / Ambush Biology</t>
  </si>
  <si>
    <t>Warm Temperate / Subtropical Woodland / Jungle Edge</t>
  </si>
  <si>
    <t>Low stout trunk with a dense radial crown of thick segmented fronds; mottled creeper-like green colouration</t>
  </si>
  <si>
    <t>Sneaker Stemwood, Sneaker Cones, Sneaker Seeds, Fibrous Fronds, Gunpowder</t>
  </si>
  <si>
    <t>Creeper-like colouration and silhouette allow creepers to blend into stands of Sneaker Trees; mature cones contain volatile compounds and have a small chance to yield Gunpowder when harvested</t>
  </si>
  <si>
    <t>Legendary cycad-like fantasy tree inspired by creepers. Its mottled green colouration and squat silhouette make hostile creepers harder to distinguish at a glance. Mature cones may yield a small amount of Gunpowder, providing a renewable but limited alternative source.</t>
  </si>
  <si>
    <t>Skinny twisted trunk with exposed bone-like wood, sparse skeletal branching, and no bark</t>
  </si>
  <si>
    <t>Legendary barkless tree with pale bone-like wood and a twisted skeletal structure. Often grows in gravelly wastelands or boneyard-like clearings. Animals may be drawn to die nearby, leaving bones around the tree that it slowly absorbs to fuel growth.</t>
  </si>
  <si>
    <t>Platanus racemosa</t>
  </si>
  <si>
    <t>Mediterranean / Dry Riparian / Canyon / Seasonal Stream</t>
  </si>
  <si>
    <t>Broad irregular crown with twisting limbs; often multi-trunked or low-branching near waterways</t>
  </si>
  <si>
    <t>Bark, Sycamore Seeds, Timber</t>
  </si>
  <si>
    <t>Adapted to hot, dry Mediterranean climates while favouring seasonal streams, canyon bottoms, and riparian corridors</t>
  </si>
  <si>
    <t>California Sycamore Tree</t>
  </si>
  <si>
    <t>california_sycamore_tree</t>
  </si>
  <si>
    <t>Western North American sycamore of dry river corridors and canyon bottoms. Combines strong riparian tendencies with much greater seasonal drought tolerance than American Sycamore, and develops pale mottled bark with broad twisting limbs.</t>
  </si>
  <si>
    <t>Juglans regia</t>
  </si>
  <si>
    <t>Temperate / Mediterranean / Orchard</t>
  </si>
  <si>
    <t>Broad rounded crown with sturdy spreading limbs and a relatively open canopy</t>
  </si>
  <si>
    <t>Walnuts, Walnut Husks, Seeds, Bark, Timber</t>
  </si>
  <si>
    <t>Major cultivated walnut species valued for edible nuts and quality timber; generally less chemically suppressive to nearby plants than Black Walnut</t>
  </si>
  <si>
    <t>English Walnut Tree</t>
  </si>
  <si>
    <t>english_walnut_tree</t>
  </si>
  <si>
    <t>Classic cultivated walnut grown widely for edible nuts and valuable timber. Provides the Walnut family with a true orchard-focused species, contrasting with Black Walnut’s allelopathic woodland identity and Butternut/Heartnut’s different nut forms.</t>
  </si>
  <si>
    <t>Salix nigra</t>
  </si>
  <si>
    <t>Broad irregular crown with flexible spreading branches; often grows directly along rivers and wet ground</t>
  </si>
  <si>
    <t>Bark, Willow Seeds, Flexible Wood, Twigs</t>
  </si>
  <si>
    <t>Strong tolerance for saturated soils and periodic flooding; flexible branches and wood suit basketry, weaving, and lightweight craft uses</t>
  </si>
  <si>
    <t>Black Willow Tree</t>
  </si>
  <si>
    <t>black_willow_tree</t>
  </si>
  <si>
    <t>Native North American riverbank willow adapted to saturated soils, floodplains, and frequently disturbed waterways. Its flexible branches and wood provide a practical crafting/basketry identity distinct from the ornamental and medicinal Weeping Willow.</t>
  </si>
  <si>
    <t>Taxus baccata</t>
  </si>
  <si>
    <t>Temperate Woodland / Old-Growth / Hedgerow</t>
  </si>
  <si>
    <t>Dense rounded crown with twisting limbs and often a broad, irregular trunk on ancient specimens</t>
  </si>
  <si>
    <t>Bark, Yew Seeds / Arils, Timber</t>
  </si>
  <si>
    <t>Exceptionally long-lived; dense elastic wood historically prized for longbows and fine carving</t>
  </si>
  <si>
    <t>English Yew Tree</t>
  </si>
  <si>
    <t>english_yew_tree</t>
  </si>
  <si>
    <t>Ancient European yew capable of surviving for centuries or even millennia. Dense, springy timber was historically prized for longbows, while old specimens often develop hollow, twisted trunks and irregular crowns.</t>
  </si>
  <si>
    <t>Wattle</t>
  </si>
  <si>
    <t>Manchurian</t>
  </si>
  <si>
    <t>Azure</t>
  </si>
  <si>
    <t>Bigtooth</t>
  </si>
  <si>
    <t>Littleleaf</t>
  </si>
  <si>
    <t>Copper</t>
  </si>
  <si>
    <t>Australian</t>
  </si>
  <si>
    <t>Linden</t>
  </si>
  <si>
    <t>Sandalwood</t>
  </si>
  <si>
    <t>Italian</t>
  </si>
  <si>
    <t>Fraser</t>
  </si>
  <si>
    <t>Golden</t>
  </si>
  <si>
    <t>Macassar</t>
  </si>
  <si>
    <t>Canary Islands</t>
  </si>
  <si>
    <t>Ashen</t>
  </si>
  <si>
    <t>Shellbark</t>
  </si>
  <si>
    <t>Mexican</t>
  </si>
  <si>
    <t>White-flowering</t>
  </si>
  <si>
    <t>Queensland</t>
  </si>
  <si>
    <t>Eclipse</t>
  </si>
  <si>
    <t>Seaside</t>
  </si>
  <si>
    <t>Bur</t>
  </si>
  <si>
    <t>Wild</t>
  </si>
  <si>
    <t>Panama</t>
  </si>
  <si>
    <t>Smooth</t>
  </si>
  <si>
    <t>Soaptree</t>
  </si>
  <si>
    <t>Rotroot</t>
  </si>
  <si>
    <t>Bitter</t>
  </si>
  <si>
    <t>Prunus dulcis var. amara</t>
  </si>
  <si>
    <t>Mediterranean / Warm Temperate Orchard</t>
  </si>
  <si>
    <t>Rounded spreading crown with fine branching</t>
  </si>
  <si>
    <t>Bitter Almond Fruit, Bitter Almonds, Pits</t>
  </si>
  <si>
    <t>Kernels contain high levels of bitter cyanogenic compounds and require specialised processing before culinary use</t>
  </si>
  <si>
    <t>Bitter Almond Tree</t>
  </si>
  <si>
    <t>bitter_almond_tree</t>
  </si>
  <si>
    <t>Bitter counterpart to Sweet Almond. Raw kernels are chemically distinct and unsuitable as ordinary food; best reserved for later processing, flavouring, or specialty-resource mechanics.</t>
  </si>
  <si>
    <t>Malus domestica 'Arkansas Black'</t>
  </si>
  <si>
    <t>Rounded to spreading orchard crown</t>
  </si>
  <si>
    <t>Arkansas Black Apples, Apple Seeds</t>
  </si>
  <si>
    <t>Very dark late-season fruit stores exceptionally well and improves in texture and flavour after time in storage</t>
  </si>
  <si>
    <t>Arkansas Black Apple Tree</t>
  </si>
  <si>
    <t>arkansas_black_apple_tree</t>
  </si>
  <si>
    <t>Late-season storage apple with unusually dark red to near-black skin. A strong candidate for preservation and aging mechanics because harvested fruit improves after storage.</t>
  </si>
  <si>
    <t>Prunus mandshurica</t>
  </si>
  <si>
    <t>Cold Temperate / Continental Woodland / Orchard</t>
  </si>
  <si>
    <t>Rounded spreading crown, often shrubby or multi-stemmed</t>
  </si>
  <si>
    <t>Far more cold-hardy than common apricot and suitable for colder orchard climates</t>
  </si>
  <si>
    <t>Manchurian Apricot Tree</t>
  </si>
  <si>
    <t>manchurian_apricot_tree</t>
  </si>
  <si>
    <t>Cold-hardy apricot species that extends apricot cultivation into harsher continental climates. Useful future contrast to Common Apricot rather than merely another fruit cultivar.</t>
  </si>
  <si>
    <t>Resource / Specialty</t>
  </si>
  <si>
    <t>Azure Resin, Arcanum Seeds</t>
  </si>
  <si>
    <t>Future Arcanum variant intended to specialise in a distinct magical resin rather than act as a cosmetic recolour</t>
  </si>
  <si>
    <t>Azure Arcanum Tree</t>
  </si>
  <si>
    <t>azure_arcanum_tree</t>
  </si>
  <si>
    <t>Fantasy expansion concept. Keep the Arcanum family centred on magical resins; exact biome, growth form, and Azure Resin behaviour remain TBD.</t>
  </si>
  <si>
    <t>Populus grandidentata</t>
  </si>
  <si>
    <t>Cool Temperate / Mixed Forest / Disturbed Uplands</t>
  </si>
  <si>
    <t>Straight to slightly spreading trunk with open rounded crown</t>
  </si>
  <si>
    <t>Bark, Aspen Seed Capsules, Timber</t>
  </si>
  <si>
    <t>Fast-growing pioneer with larger coarsely toothed leaves and preference for somewhat drier uplands than Quaking Aspen</t>
  </si>
  <si>
    <t>Bigtooth Aspen Tree</t>
  </si>
  <si>
    <t>bigtooth_aspen_tree</t>
  </si>
  <si>
    <t>Future aspen counterpart to Quaking Aspen. Adds a coarser-leaved upland form while Quaking Aspen remains the clonal-root-network specialist.</t>
  </si>
  <si>
    <t>Phyllostachys nigra</t>
  </si>
  <si>
    <t>Warm Temperate / Subtropical Forest / Garden</t>
  </si>
  <si>
    <t>Tall straight hollow culms arising from running rhizomes</t>
  </si>
  <si>
    <t>Black Bamboo Culms, Bamboo Shoots, Leaves, Seeds</t>
  </si>
  <si>
    <t>Mature culms darken from green to deep brown-black, creating a highly distinctive ornamental and building material</t>
  </si>
  <si>
    <t>black_bamboo</t>
  </si>
  <si>
    <t>Running bamboo with striking dark mature culms. Moso Bamboo already covers the main structural-bamboo niche; Black Bamboo is reserved primarily for strong visual and material contrast.</t>
  </si>
  <si>
    <t>Grandidier's</t>
  </si>
  <si>
    <t>Adansonia grandidieri</t>
  </si>
  <si>
    <t>Seasonally Dry Tropical / Madagascar Dry Forest</t>
  </si>
  <si>
    <t>Very tall columnar swollen trunk with sparse high crown</t>
  </si>
  <si>
    <t>Baobab Fruit, Seeds, Bark Fibre</t>
  </si>
  <si>
    <t>Extremely tall, column-like baobab form with massive water-storing trunk</t>
  </si>
  <si>
    <t>Grandidier's Baobab Tree</t>
  </si>
  <si>
    <t>grandidiers_baobab_tree</t>
  </si>
  <si>
    <t>Iconic Madagascar baobab with a much taller and more columnar silhouette than African Baobab. Retains edible-resource potential while adding major visual variety.</t>
  </si>
  <si>
    <t>Fagus sylvatica 'Purpurea'</t>
  </si>
  <si>
    <t>Cool Temperate / Parkland / Woodland</t>
  </si>
  <si>
    <t>Broad dense rounded crown</t>
  </si>
  <si>
    <t>Beechnuts, Bark, Timber</t>
  </si>
  <si>
    <t>Deep copper-purple to burgundy foliage provides dramatic ornamental contrast</t>
  </si>
  <si>
    <t>Copper Beech Tree</t>
  </si>
  <si>
    <t>copper_beech_tree</t>
  </si>
  <si>
    <t>Purple-leaved form of European Beech reserved for ornamental and foliage-colour variety. American Beech already covers mast and wildlife value.</t>
  </si>
  <si>
    <t>Acacia melanoxylon</t>
  </si>
  <si>
    <t>Tall straight trunk with broad crown</t>
  </si>
  <si>
    <t>Australian Blackwood Timber, Seed Pods, Bark</t>
  </si>
  <si>
    <t>Produces attractive golden-brown to dark figured timber valued for furniture and instruments</t>
  </si>
  <si>
    <t>Australian Blackwood Tree</t>
  </si>
  <si>
    <t>australian_blackwood_tree</t>
  </si>
  <si>
    <t>Australasian timber tree with a much lighter and more varied figured wood than African Blackwood. Adds geographic and decorative contrast rather than another ultra-dense darkwood.</t>
  </si>
  <si>
    <t>Corymbia gummifera</t>
  </si>
  <si>
    <t>Warm Temperate / Subtropical Woodland</t>
  </si>
  <si>
    <t>Straight trunk with irregular spreading crown</t>
  </si>
  <si>
    <t>Red Bloodwood Timber, Bark, Seed Capsules</t>
  </si>
  <si>
    <t>Dense reddish timber and kino-rich bark distinguish it from African Bloodwood</t>
  </si>
  <si>
    <t>Red Bloodwood Tree</t>
  </si>
  <si>
    <t>red_bloodwood_tree</t>
  </si>
  <si>
    <t>Australian bloodwood reserved as a timber-focused counterpart to African Bloodwood's vivid resin identity.</t>
  </si>
  <si>
    <t>Multi-stemmed evergreen tree or shrub with dense crown</t>
  </si>
  <si>
    <t>Cinnamon Bark, Leaves, Seeds</t>
  </si>
  <si>
    <t>Inner bark is harvested and dried as true cinnamon, with repeated coppice-style regrowth possible</t>
  </si>
  <si>
    <t>True cinnamon species. Future culinary expansion candidate if flavour quality, bark yield, or spice processing becomes more detailed.</t>
  </si>
  <si>
    <t>Dolgo</t>
  </si>
  <si>
    <t>Malus 'Dolgo'</t>
  </si>
  <si>
    <t>Cool Temperate / Orchard / Woodland Edge</t>
  </si>
  <si>
    <t>Dense rounded crown with heavy spring flowering</t>
  </si>
  <si>
    <t>Dolgo Crabapples, Seeds</t>
  </si>
  <si>
    <t>Produces tart red fruit especially suited to jelly, preserves, sauces, and cider</t>
  </si>
  <si>
    <t>Dolgo Crabapple Tree</t>
  </si>
  <si>
    <t>dolgo_crabapple_tree</t>
  </si>
  <si>
    <t>Processing-focused crabapple counterpart to Sweet Crabapple's ornamental identity. Particularly suitable for preserves and other cooked fruit products.</t>
  </si>
  <si>
    <t>Theobroma cacao 'Criollo'</t>
  </si>
  <si>
    <t>Low understory trunk with spreading crown</t>
  </si>
  <si>
    <t>Criollo Cacao Pods, Cacao Beans</t>
  </si>
  <si>
    <t>Premium cacao cultivar valued for fine-flavour beans but typically lower yielding and more delicate</t>
  </si>
  <si>
    <t>Criollo Cacao Tree</t>
  </si>
  <si>
    <t>criollo_cacao_tree</t>
  </si>
  <si>
    <t>Future premium cacao cultivar for crop-quality and chocolate-processing systems. Core Cacao already provides cauliflorous pod harvesting.</t>
  </si>
  <si>
    <t>Cupressus sempervirens</t>
  </si>
  <si>
    <t>Mediterranean / Warm Temperate Dry Woodland</t>
  </si>
  <si>
    <t>Extremely narrow columnar crown with upright branches</t>
  </si>
  <si>
    <t>Cypress Cones, Cypress Seeds, Timber</t>
  </si>
  <si>
    <t>Tall pencil-like form creates a radically different silhouette suited to formal and Mediterranean landscapes</t>
  </si>
  <si>
    <t>Italian Cypress Tree</t>
  </si>
  <si>
    <t>italian_cypress_tree</t>
  </si>
  <si>
    <t>Future ornamental cypress variant. Leyland covers fast growth and Bald Cypress covers flooded wetlands; Italian Cypress adds extreme columnar form.</t>
  </si>
  <si>
    <t>Prunus domestica subsp. insititia</t>
  </si>
  <si>
    <t>Cool Temperate / Orchard / Hedgerow</t>
  </si>
  <si>
    <t>Rounded compact crown, often somewhat thorny</t>
  </si>
  <si>
    <t>Damson Plums, Pits</t>
  </si>
  <si>
    <t>Small tart fruit is especially suited to preserves, sauces, baking, and cooking rather than fresh eating</t>
  </si>
  <si>
    <t>Damson Plum Tree</t>
  </si>
  <si>
    <t>damson_plum_tree</t>
  </si>
  <si>
    <t>Processing-focused plum reserved for future food systems. Provides a tart preserve/cooking niche alongside European Plum's general fresh-fruit role.</t>
  </si>
  <si>
    <t>Dracaena draco</t>
  </si>
  <si>
    <t>Warm Subtropical / Dry Woodland / Rocky Slopes</t>
  </si>
  <si>
    <t>Thick branching trunk ending in dense umbrella-like leaf rosettes</t>
  </si>
  <si>
    <t>Dragon Tree Resin, Seeds, Leaves</t>
  </si>
  <si>
    <t>Very slow-growing tree-like monocot capable of developing ancient, highly branched umbrella crowns</t>
  </si>
  <si>
    <t>canary_islands_dragon_tree</t>
  </si>
  <si>
    <t>Ancient-looking dragon tree counterpart to Socotra Dragon's Blood. Reserved mainly for heritage, ornamental silhouette, and slow-growth identity rather than duplicating the red-resin niche.</t>
  </si>
  <si>
    <t>Diospyros celebica</t>
  </si>
  <si>
    <t>Tropical Rainforest / Seasonal Tropical Forest</t>
  </si>
  <si>
    <t>Straight trunk with dense rounded crown</t>
  </si>
  <si>
    <t>Macassar Ebony Timber, Fruit, Seeds</t>
  </si>
  <si>
    <t>Heartwood has dramatic dark brown and black striping rather than uniform black coloration</t>
  </si>
  <si>
    <t>Macassar Ebony Tree</t>
  </si>
  <si>
    <t>macassar_ebony_tree</t>
  </si>
  <si>
    <t>Future luxury-timber counterpart to Gaboon Ebony. Its striped heartwood provides obvious visual differentiation.</t>
  </si>
  <si>
    <t>Golden Sap, Ethereal Seeds</t>
  </si>
  <si>
    <t>Future Ethereal variant focused on a distinct magical sap, potentially solar or high-value alchemical in behaviour</t>
  </si>
  <si>
    <t>Golden Ethereal Tree</t>
  </si>
  <si>
    <t>golden_ethereal_tree</t>
  </si>
  <si>
    <t>Fantasy expansion concept. Keep Ethereal variants centred on specialised magical saps; exact biome, growth form, and Golden Sap mechanics remain TBD.</t>
  </si>
  <si>
    <t>Abies fraseri</t>
  </si>
  <si>
    <t>Cool Temperate / High-Elevation Appalachian Forest</t>
  </si>
  <si>
    <t>Dense narrow conical crown with short horizontal branches</t>
  </si>
  <si>
    <t>Fir Cones, Fir Seeds, Timber, Aromatic Foliage</t>
  </si>
  <si>
    <t>High-elevation true fir with dense symmetrical crown and strong cold adaptation</t>
  </si>
  <si>
    <t>Fraser Fir Tree</t>
  </si>
  <si>
    <t>fraser_fir_tree</t>
  </si>
  <si>
    <t>Future Appalachian mountain fir and classic ornamental/Christmas-tree form. Adds a high-elevation identity distinct from Douglas and Balsam Fir.</t>
  </si>
  <si>
    <t>Persea americana 'Hass'</t>
  </si>
  <si>
    <t>Subtropical / Warm Temperate Orchard</t>
  </si>
  <si>
    <t>Dense rounded orchard crown</t>
  </si>
  <si>
    <t>Hass Avocados, Pits, Leaves</t>
  </si>
  <si>
    <t>Produces dark pebbled fruit with high oil content; future cultivar quality and yield differences could distinguish it</t>
  </si>
  <si>
    <t>Hass Avocado Tree</t>
  </si>
  <si>
    <t>hass_avocado_tree</t>
  </si>
  <si>
    <t>Highly recognisable cultivated avocado reserved for future Fruit Fun quality, harvest-season, and yield systems.</t>
  </si>
  <si>
    <t>Manilkara zapota 'Hasya'</t>
  </si>
  <si>
    <t>Tropical / Subtropical Orchard</t>
  </si>
  <si>
    <t>Dense rounded evergreen crown</t>
  </si>
  <si>
    <t>Hasya Sapodillas, Seeds, Latex</t>
  </si>
  <si>
    <t>Cultivar produces large high-quality fruit while retaining the species' chicle-producing latex</t>
  </si>
  <si>
    <t>Hasya Sapodilla Tree</t>
  </si>
  <si>
    <t>hasya_sapodilla_tree</t>
  </si>
  <si>
    <t>Future fruit-quality cultivar for Sapodilla. Common Sapodilla already covers chicle latex; Hasya would emphasise orchard fruit quality.</t>
  </si>
  <si>
    <t>Ashen Sap, Hellblade Seeds, Ash</t>
  </si>
  <si>
    <t>Ashen Hellblade Tree</t>
  </si>
  <si>
    <t>ashen_hellblade_tree</t>
  </si>
  <si>
    <t>Fantasy expansion concept. Keep Hellblade variants centred on dangerous or hostile biology; exact fire/ash mechanic, biome, and morphology remain TBD.</t>
  </si>
  <si>
    <t>Carya laciniosa</t>
  </si>
  <si>
    <t>Temperate Deciduous Forest / Rich Bottomland</t>
  </si>
  <si>
    <t>Tall straight trunk with rounded crown and shaggy bark</t>
  </si>
  <si>
    <t>Shellbark Hickory Nuts, Husks, Bark, Timber</t>
  </si>
  <si>
    <t>Produces very large edible hickory nuts and develops distinctive shaggy plates of bark</t>
  </si>
  <si>
    <t>Shellbark Hickory Tree</t>
  </si>
  <si>
    <t>shellbark_hickory_tree</t>
  </si>
  <si>
    <t>Future hickory variant combining oversized edible nuts with shaggy bark. Existing hickories already cover tough timber and pecan production.</t>
  </si>
  <si>
    <t>Jacaranda mimosifolia 'Alba'</t>
  </si>
  <si>
    <t>Warm Temperate / Subtropical Urban Woodland</t>
  </si>
  <si>
    <t>Open rounded crown with fine fern-like foliage</t>
  </si>
  <si>
    <t>White Jacaranda Flowers, Seed Pods, Seeds, Timber</t>
  </si>
  <si>
    <t>Produces unusual white flower clusters instead of the familiar blue-violet bloom</t>
  </si>
  <si>
    <t>White-flowering Jacaranda Tree</t>
  </si>
  <si>
    <t>white_flowering_jacaranda_tree</t>
  </si>
  <si>
    <t>Future ornamental form of Blue Jacaranda reserved for strong blossom-colour contrast; otherwise shares similar growth and phenology.</t>
  </si>
  <si>
    <t>Agathis robusta</t>
  </si>
  <si>
    <t>Tropical / Subtropical Rainforest</t>
  </si>
  <si>
    <t>Tall columnar trunk with high broad crown</t>
  </si>
  <si>
    <t>Kauri Cones, Kauri Seeds, Resin, Timber</t>
  </si>
  <si>
    <t>Large warm-climate kauri adapted to tropical and subtropical rainforest</t>
  </si>
  <si>
    <t>Queensland Kauri Tree</t>
  </si>
  <si>
    <t>queensland_kauri_tree</t>
  </si>
  <si>
    <t>Future warmer-rainforest counterpart to New Zealand Kauri. Adds geographic and climate diversity while retaining kauri gum/resin potential.</t>
  </si>
  <si>
    <t>Tilia cordata</t>
  </si>
  <si>
    <t>Cool Temperate / Deciduous Woodland / Urban</t>
  </si>
  <si>
    <t>Dense rounded to pyramidal crown</t>
  </si>
  <si>
    <t>Linden Flowers, Nutlets, Bark Fibre, Timber</t>
  </si>
  <si>
    <t>Fragrant flowers attract large numbers of bees and other pollinators</t>
  </si>
  <si>
    <t>Littleleaf Linden Tree</t>
  </si>
  <si>
    <t>littleleaf_linden_tree</t>
  </si>
  <si>
    <t>Compact Old World linden reserved for future urban/ornamental and pollinator expansion. Complements the larger American Basswood.</t>
  </si>
  <si>
    <t>Hibiscus tiliaceus</t>
  </si>
  <si>
    <t>Tropical / Subtropical Coast / Mangrove Margin</t>
  </si>
  <si>
    <t>Low branching spreading tree, often multi-stemmed</t>
  </si>
  <si>
    <t>Mahoe Bark Fibre, Flowers, Seeds, Timber</t>
  </si>
  <si>
    <t>Highly tolerant of salt spray, coastal wind, and sandy shoreline conditions</t>
  </si>
  <si>
    <t>Seaside Mahoe Tree</t>
  </si>
  <si>
    <t>seaside_mahoe_tree</t>
  </si>
  <si>
    <t>Future coastal mahoe counterpart to Blue Mahoe. Strong salt tolerance gives it an ecological identity beyond decorative timber.</t>
  </si>
  <si>
    <t>Citrus reticulata</t>
  </si>
  <si>
    <t>Mandarins, Citrus Seeds, Blossoms</t>
  </si>
  <si>
    <t>Produces small sweet easy-peeling citrus fruit</t>
  </si>
  <si>
    <t>Mandarin Citrus Tree</t>
  </si>
  <si>
    <t>mandarin_citrus_tree</t>
  </si>
  <si>
    <t>Future citrus variant adding a clearly distinct small, easy-peeling fruit type to a family already represented by lemon, lime, orange, and grapefruit.</t>
  </si>
  <si>
    <t>Andaman</t>
  </si>
  <si>
    <t>Diospyros marmorata</t>
  </si>
  <si>
    <t>Straight trunk with dense crown</t>
  </si>
  <si>
    <t>Marblewood Timber, Fruit, Seeds</t>
  </si>
  <si>
    <t>Heartwood can show dramatic contrasting pale and dark streaking or marbled figuring</t>
  </si>
  <si>
    <t>Andaman Marblewood Tree</t>
  </si>
  <si>
    <t>andaman_marblewood_tree</t>
  </si>
  <si>
    <t>Future decorative timber species reserved for strong figured-wood contrast. Treated as its own practical variant group rather than a Canarywood variant.</t>
  </si>
  <si>
    <t>Eclipse Sap, Moonwood Seeds</t>
  </si>
  <si>
    <t>Future Moonwood variant intended to react to moon phase, eclipses, dusk, or other celestial timing conditions</t>
  </si>
  <si>
    <t>Eclipse Moonwood Tree</t>
  </si>
  <si>
    <t>eclipse_moonwood_tree</t>
  </si>
  <si>
    <t>Fantasy expansion concept. Keep Moonwood variants centred on nocturnal and celestial timing mechanics; exact Eclipse behaviour and biome remain TBD.</t>
  </si>
  <si>
    <t>Quercus macrocarpa</t>
  </si>
  <si>
    <t>Resource / Ecological / Wildlife</t>
  </si>
  <si>
    <t>Temperate Prairie / Savanna / Open Woodland</t>
  </si>
  <si>
    <t>Broad rugged crown with massive limbs and thick bark</t>
  </si>
  <si>
    <t>Acorns, Bark, Timber</t>
  </si>
  <si>
    <t>Tolerates drought, prairie exposure, and harsh continental conditions; produces very large fringed acorn cups</t>
  </si>
  <si>
    <t>Bur Oak Tree</t>
  </si>
  <si>
    <t>bur_oak_tree</t>
  </si>
  <si>
    <t>Future prairie and savanna oak. Oak is already a strong family, so Bur Oak is reserved for its open-country toughness and oversized acorns rather than immediate roster need.</t>
  </si>
  <si>
    <t>Olea europaea var. sylvestris</t>
  </si>
  <si>
    <t>Mediterranean Scrub / Dry Woodland</t>
  </si>
  <si>
    <t>Gnarled multi-stemmed shrub or small tree</t>
  </si>
  <si>
    <t>Wild Olives, Seeds, Timber, Leaves</t>
  </si>
  <si>
    <t>Hardy drought-adapted wild form with smaller fruit and stronger natural woodland ecology</t>
  </si>
  <si>
    <t>Wild Olive Tree</t>
  </si>
  <si>
    <t>wild_olive_tree</t>
  </si>
  <si>
    <t>Future wild counterpart to cultivated European Olive. Adds Mediterranean scrub ecology and tougher drought adaptation while retaining limited fruit and oil potential.</t>
  </si>
  <si>
    <t>Elaeis guineensis</t>
  </si>
  <si>
    <t>Food / Resource / Industrial</t>
  </si>
  <si>
    <t>Humid Tropical Lowland / Plantation</t>
  </si>
  <si>
    <t>Single trunk with dense crown of large pinnate fronds</t>
  </si>
  <si>
    <t>Oil Palm Fruit Bunches, Palm Oil, Palm Kernel Oil, Seeds</t>
  </si>
  <si>
    <t>Produces dense fruit bunches yielding both palm oil and palm-kernel oil</t>
  </si>
  <si>
    <t>oil_palm</t>
  </si>
  <si>
    <t>Future industrial food-crop palm for large-scale oil processing. Current palms already cover ornamental, coconut, date, and unusual-growth roles.</t>
  </si>
  <si>
    <t>Tree</t>
  </si>
  <si>
    <t>Millettia stuhlmannii</t>
  </si>
  <si>
    <t>Seasonally Dry Tropical Woodland / Forest</t>
  </si>
  <si>
    <t>Straight trunk with rounded crown</t>
  </si>
  <si>
    <t>Panga Panga Timber, Seed Pods</t>
  </si>
  <si>
    <t>Dark brown timber with black streaking related in appearance and use to Wenge</t>
  </si>
  <si>
    <t>Panga Panga Tree</t>
  </si>
  <si>
    <t>panga_panga_tree</t>
  </si>
  <si>
    <t>Future dark figured timber counterpart to Wenge. Adds decorative variation rather than a new gameplay system.</t>
  </si>
  <si>
    <t>Musa × paradisiaca</t>
  </si>
  <si>
    <t>Tropical / Humid Subtropical Agriculture</t>
  </si>
  <si>
    <t>Large leafy pseudostem with suckers arising from underground corm</t>
  </si>
  <si>
    <t>Plantains, Banana Leaves, Fibre, Suckers</t>
  </si>
  <si>
    <t>Produces starchier fruit generally cooked as a staple rather than eaten as a sweet dessert fruit</t>
  </si>
  <si>
    <t>Plantain Plant</t>
  </si>
  <si>
    <t>plantain_plant</t>
  </si>
  <si>
    <t>Future Banana-family crop with a distinct cooking and staple-food role. Shares the one-fruiting-pseudostem lifecycle of other bananas.</t>
  </si>
  <si>
    <t>Aspidosperma quebracho-blanco</t>
  </si>
  <si>
    <t>Dry Subtropical Woodland / Chaco</t>
  </si>
  <si>
    <t>Straight to irregular trunk with rounded crown</t>
  </si>
  <si>
    <t>White Quebracho Timber, Bark, Seeds</t>
  </si>
  <si>
    <t>Hard durable pale timber adapted to hot seasonally dry woodland</t>
  </si>
  <si>
    <t>White Quebracho Tree</t>
  </si>
  <si>
    <t>white_quebracho_tree</t>
  </si>
  <si>
    <t>Future lighter-timber counterpart to Red Quebracho. Red remains the ultra-dense 'axe-breaker' specialist while White adds material and ecological contrast.</t>
  </si>
  <si>
    <t>Sorbus aucuparia</t>
  </si>
  <si>
    <t>Resource / Wildlife / Ornamental</t>
  </si>
  <si>
    <t>Cool Temperate / Boreal Woodland / Mountain Edge</t>
  </si>
  <si>
    <t>Slender trunk with open rounded crown</t>
  </si>
  <si>
    <t>Rowan Berries, Seeds, Timber</t>
  </si>
  <si>
    <t>Heavy clusters of red-orange fruit provide important wildlife food and strong autumn interest</t>
  </si>
  <si>
    <t>European Rowan Tree</t>
  </si>
  <si>
    <t>european_rowan_tree</t>
  </si>
  <si>
    <t>Future Old World counterpart to American Mountain Ash, adding ornamental and cultural identity while preserving the family's wildlife-rich berry role.</t>
  </si>
  <si>
    <t>Castilla elastica</t>
  </si>
  <si>
    <t>Tropical Rainforest / Humid Lowland</t>
  </si>
  <si>
    <t>Tall straight trunk with spreading upper crown</t>
  </si>
  <si>
    <t>Latex, Seeds, Bark, Timber</t>
  </si>
  <si>
    <t>Produces milky latex historically harvested as a natural rubber source</t>
  </si>
  <si>
    <t>panama_rubber_tree</t>
  </si>
  <si>
    <t>Future geographic and biological alternative to Pará Rubber. Best added once tapping yield, recovery rate, climate tolerance, or latex quality are mechanically meaningful.</t>
  </si>
  <si>
    <t>Plinia jaboticaba 'Sabará'</t>
  </si>
  <si>
    <t>Subtropical / Tropical Orchard</t>
  </si>
  <si>
    <t>Dense rounded crown with smooth multi-branched trunk</t>
  </si>
  <si>
    <t>Sabará Jabuticabas, Seeds</t>
  </si>
  <si>
    <t>Produces fruit directly on the trunk and major branches; future cultivar could differ in fruit quality and yield</t>
  </si>
  <si>
    <t>Sabará Jabuticaba Tree</t>
  </si>
  <si>
    <t>sabara_jabuticaba_tree</t>
  </si>
  <si>
    <t>Future cultivated Jabuticaba type reserved for fruit-quality and yield differences. Core Jabuticaba already owns the cauliflorous trunk-fruiting mechanic.</t>
  </si>
  <si>
    <t>East African</t>
  </si>
  <si>
    <t>Osyris lanceolata</t>
  </si>
  <si>
    <t>Dry Woodland / Montane Scrub / Savanna Edge</t>
  </si>
  <si>
    <t>Multi-stemmed shrub or small tree with dense crown</t>
  </si>
  <si>
    <t>Aromatic Wood, Roots, Seeds</t>
  </si>
  <si>
    <t>Fragrant heartwood and roots provide aromatic material suitable for incense, perfume, or specialty processing</t>
  </si>
  <si>
    <t>East African Sandalwood Tree</t>
  </si>
  <si>
    <t>east_african_sandalwood_tree</t>
  </si>
  <si>
    <t>Future aromatic-resource tree. Kept separate from Camwood to avoid duplicating Camwood's red-dye identity.</t>
  </si>
  <si>
    <t>Hura polyandra</t>
  </si>
  <si>
    <t>Tropical / Seasonally Dry Forest</t>
  </si>
  <si>
    <t>Straight thorny trunk with broad spreading crown</t>
  </si>
  <si>
    <t>Explosive Seed Capsules, Seeds, Latex, Timber</t>
  </si>
  <si>
    <t>Dry fruit capsules split explosively and launch seeds away from the parent tree</t>
  </si>
  <si>
    <t>mexican_sandbox_tree</t>
  </si>
  <si>
    <t>Future regional Hura counterpart. Core Sandbox Tree already owns the explosive-fruit mechanic, so this is a lower-priority ecological variant.</t>
  </si>
  <si>
    <t>Rhus glabra</t>
  </si>
  <si>
    <t>Temperate Prairie / Woodland Edge / Disturbed Ground</t>
  </si>
  <si>
    <t>Multi-stemmed shrub or small tree forming colonies</t>
  </si>
  <si>
    <t>Sumac Fruit Clusters, Seeds, Bark</t>
  </si>
  <si>
    <t>Brilliant red-orange autumn foliage and dense red fruit clusters; spreads readily by suckers</t>
  </si>
  <si>
    <t>Smooth Sumac Tree</t>
  </si>
  <si>
    <t>smooth_sumac_tree</t>
  </si>
  <si>
    <t>Future sumac variant offering broader regional and thicket-form variation while Staghorn Sumac remains the main seasonal-colour specialist.</t>
  </si>
  <si>
    <t>Acacia mearnsii</t>
  </si>
  <si>
    <t>Straight to branching trunk with rounded crown</t>
  </si>
  <si>
    <t>Wattle Bark, Tannin Extract, Seed Pods, Timber</t>
  </si>
  <si>
    <t>Bark is exceptionally rich in tannins useful for leather tanning, dyes, mordants, and preservation</t>
  </si>
  <si>
    <t>Black Wattle Tree</t>
  </si>
  <si>
    <t>black_wattle_tree</t>
  </si>
  <si>
    <t>Future Acacia-family industrial resource tree. Its tannin-rich bark provides a distinct processing niche rather than duplicating Gum Arabic or Umbrella Thorn ecology.</t>
  </si>
  <si>
    <t>Slow-growing understory conifer of the Pacific Northwest; bark became famous as the original source of paclitaxel (taxol). Most of the plant is toxic, though the fleshy red aril is not.</t>
  </si>
  <si>
    <t>Yucca elata</t>
  </si>
  <si>
    <t>Desert / Semi-Arid Grassland / High Desert</t>
  </si>
  <si>
    <t>Slender trunk topped by dense rosettes of narrow leaves</t>
  </si>
  <si>
    <t>Yucca Fibre, Flowers, Seeds, Soaproot</t>
  </si>
  <si>
    <t>Roots contain saponins and can provide a natural soap resource; leaves yield strong fibres</t>
  </si>
  <si>
    <t>soaptree_yucca</t>
  </si>
  <si>
    <t>Future yucca variant focused on fibre and soap-resource processing rather than duplicating Joshua Tree's large desert silhouette.</t>
  </si>
  <si>
    <t>Rotwood, Zombibark Seeds, Root Heart</t>
  </si>
  <si>
    <t>Future Zombibark variant survives through a corrupted underground root-heart after the visible trunk is destroyed</t>
  </si>
  <si>
    <t>Rotroot Zombibark Tree</t>
  </si>
  <si>
    <t>rotroot_zombibark_tree</t>
  </si>
  <si>
    <t>Fantasy expansion concept. Zombibark family rule: trees do not die normally. Rotroot should require locating and destroying an underground root-heart; exact biome and appearance remain TBD.</t>
  </si>
  <si>
    <t>Holywood</t>
  </si>
  <si>
    <t>Guaiacum sanctum</t>
  </si>
  <si>
    <t>Subtropical Dry Forest / Caribbean Woodland</t>
  </si>
  <si>
    <t>Dense rounded crown on short often crooked trunk</t>
  </si>
  <si>
    <t>Holywood Timber, Resin, Seeds</t>
  </si>
  <si>
    <t>Dense resinous wood and historically important guaiacum resin provide medicinal and specialty-resource identity</t>
  </si>
  <si>
    <t>Holywood Lignum Vitae Tree</t>
  </si>
  <si>
    <t>holywood_lignum_vitae_tree</t>
  </si>
  <si>
    <t>Future third Lignum Vitae representative. Existing variants already cover extreme density and oily/self-lubricating timber; Holywood is reserved for resin, heritage, and specialty-resource use.</t>
  </si>
  <si>
    <t>red_maple_leaves</t>
  </si>
  <si>
    <t>red_maple_0</t>
  </si>
  <si>
    <t>red_maple_sapling</t>
  </si>
  <si>
    <t>red_maple_samara</t>
  </si>
  <si>
    <t>red_maple_seedling</t>
  </si>
  <si>
    <t>red_maple_bark</t>
  </si>
  <si>
    <t>Jurupa Oak Log</t>
  </si>
  <si>
    <t>origin_oak_log</t>
  </si>
  <si>
    <t>Grow a Willow Tree</t>
  </si>
  <si>
    <t>Grow a Jurupa Oak Tree</t>
  </si>
  <si>
    <t>Jurupa Oak Log Knots</t>
  </si>
  <si>
    <t>origin_oak_log_knots</t>
  </si>
  <si>
    <t>Jurupa Oak Wood</t>
  </si>
  <si>
    <t>Stripped Jurupa Oak Log</t>
  </si>
  <si>
    <t>Jurupa Oak Log Top</t>
  </si>
  <si>
    <t>Stripped Jurupa Oak Log Top</t>
  </si>
  <si>
    <t>Stripped Jurupa Oak Wood</t>
  </si>
  <si>
    <t>origin_oak_log_top</t>
  </si>
  <si>
    <t>origin_oak_wood</t>
  </si>
  <si>
    <t>stripped_origin_oak_log</t>
  </si>
  <si>
    <t>stripped_origin_oak_log_top</t>
  </si>
  <si>
    <t>stripped_origin_oak_wood</t>
  </si>
  <si>
    <t>Jurupa Oak Planks</t>
  </si>
  <si>
    <t>origin_oak_planks</t>
  </si>
  <si>
    <t>origin_oak_shelf</t>
  </si>
  <si>
    <t>Jurupa Oak Shelf</t>
  </si>
  <si>
    <t>Jurupa Oak Door Top</t>
  </si>
  <si>
    <t>Jurupa Oak Door Bottom</t>
  </si>
  <si>
    <t>Jurupa Oak Trapdoor</t>
  </si>
  <si>
    <t>Jurupa Oak Sign</t>
  </si>
  <si>
    <t>Jurupa Oak Hanging Sign</t>
  </si>
  <si>
    <t>Jurupa Oak Boat</t>
  </si>
  <si>
    <t>Jurupa Oak Chest Boat</t>
  </si>
  <si>
    <t>Jurupa Oak Leaves</t>
  </si>
  <si>
    <t>Jurupa Oak Falling Leaves</t>
  </si>
  <si>
    <t>Jurupa Oak Sapling</t>
  </si>
  <si>
    <t>origin_oak_door_top</t>
  </si>
  <si>
    <t>origin_oak_door_bottom</t>
  </si>
  <si>
    <t>origin_oak_trapdoor</t>
  </si>
  <si>
    <t>origin_oak_sign</t>
  </si>
  <si>
    <t>origin_oak_hanging_sign</t>
  </si>
  <si>
    <t>origin_oak_boat</t>
  </si>
  <si>
    <t>origin_oak_chest_boat</t>
  </si>
  <si>
    <t>origin_oak_leaves</t>
  </si>
  <si>
    <t>origin_oak_sapling</t>
  </si>
  <si>
    <t>Wooden Bench</t>
  </si>
  <si>
    <t>wooden_bench</t>
  </si>
  <si>
    <t>Furniture</t>
  </si>
  <si>
    <t>Uses plank texture of each wood</t>
  </si>
  <si>
    <t>Picnic Table</t>
  </si>
  <si>
    <t>picnic_table</t>
  </si>
  <si>
    <t>Planks texture used for Picnic Tables, Benches, Slabs, Stairs, Fences, Gates, Pressure Plates, Buttons</t>
  </si>
  <si>
    <t>jurupa_oak_#</t>
  </si>
  <si>
    <t>Jurupa Oak Acorn</t>
  </si>
  <si>
    <t>Jurupa Oak Seedling</t>
  </si>
  <si>
    <t>Jurupa Oak Bark</t>
  </si>
  <si>
    <t>jurupa_oak_acorn</t>
  </si>
  <si>
    <t>jurupa_oak_seedling</t>
  </si>
  <si>
    <t>jurupa_oak_bark</t>
  </si>
  <si>
    <t>Royal Palm Log</t>
  </si>
  <si>
    <t>Royal Palm Log Crownshaft</t>
  </si>
  <si>
    <t>Royal Palm Log Junction</t>
  </si>
  <si>
    <t>Royal Palm Log Top</t>
  </si>
  <si>
    <t>Royal Palm Wood</t>
  </si>
  <si>
    <t>Stripped Royal Palm Log</t>
  </si>
  <si>
    <t>Stripped Royal Palm Log Top</t>
  </si>
  <si>
    <t>Stripped Royal Palm Wood</t>
  </si>
  <si>
    <t>Royal Palm Planks</t>
  </si>
  <si>
    <t>Royal Palm Shelf</t>
  </si>
  <si>
    <t>Royal Palm Door Top</t>
  </si>
  <si>
    <t>Royal Palm Door Bottom</t>
  </si>
  <si>
    <t>Royal Palm Trapdoor</t>
  </si>
  <si>
    <t>Royal Palm Sign</t>
  </si>
  <si>
    <t>Royal Palm Hanging Sign</t>
  </si>
  <si>
    <t>Royal Palm Boat</t>
  </si>
  <si>
    <t>Royal Palm Chest Boat</t>
  </si>
  <si>
    <t>Royal Palm Leaves</t>
  </si>
  <si>
    <t>Royal Palm Falling Leaves</t>
  </si>
  <si>
    <t>Royal Palm Sapling</t>
  </si>
  <si>
    <t>palm_log</t>
  </si>
  <si>
    <t>palm_wood</t>
  </si>
  <si>
    <t>palm_planks</t>
  </si>
  <si>
    <t>palm_shelf</t>
  </si>
  <si>
    <t>palm_trapdoor</t>
  </si>
  <si>
    <t>palm_sign</t>
  </si>
  <si>
    <t>palm_boat</t>
  </si>
  <si>
    <t>palm_leaves</t>
  </si>
  <si>
    <t>palm_sapling</t>
  </si>
  <si>
    <t>palm_log_junction</t>
  </si>
  <si>
    <t>palm_log_crownshaft</t>
  </si>
  <si>
    <t>palm_log_top</t>
  </si>
  <si>
    <t>palm_door_top</t>
  </si>
  <si>
    <t>palm_door_bottom</t>
  </si>
  <si>
    <t>palm_hanging_sign</t>
  </si>
  <si>
    <t>palm_chest_boat</t>
  </si>
  <si>
    <t>stripped_palm_log</t>
  </si>
  <si>
    <t>stripped_palm_log_top</t>
  </si>
  <si>
    <t>stripped_palm_wood</t>
  </si>
  <si>
    <t>Royal Palm Seedling</t>
  </si>
  <si>
    <t>Royal Palm Bark</t>
  </si>
  <si>
    <t>Royal Palm Seed Cluster</t>
  </si>
  <si>
    <t>palm_#</t>
  </si>
  <si>
    <t>Royal Palm Seeds</t>
  </si>
  <si>
    <t>palm_seeds</t>
  </si>
  <si>
    <t>palm_seed_cluster</t>
  </si>
  <si>
    <t>palm_seedling</t>
  </si>
  <si>
    <t>palm_bark</t>
  </si>
  <si>
    <t>hellbark_log</t>
  </si>
  <si>
    <t>Demonspur Hellblade Log</t>
  </si>
  <si>
    <t>Demonspur Hellblade Log Top</t>
  </si>
  <si>
    <t>hellbark_log_top</t>
  </si>
  <si>
    <t>Demonspur Hellblade Wood</t>
  </si>
  <si>
    <t>Stripped Demonspur Hellblade Log</t>
  </si>
  <si>
    <t>Stripped Demonspur Hellblade Log Top</t>
  </si>
  <si>
    <t>Stripped Demonspur Hellblade Wood</t>
  </si>
  <si>
    <t>Demonspur Hellblade Planks</t>
  </si>
  <si>
    <t>Demonspur Hellblade Shelf</t>
  </si>
  <si>
    <t>Demonspur Hellblade Door Top</t>
  </si>
  <si>
    <t>Demonspur Hellblade Door Bottom</t>
  </si>
  <si>
    <t>Demonspur Hellblade Trapdoor</t>
  </si>
  <si>
    <t>Demonspur Hellblade Sign</t>
  </si>
  <si>
    <t>Demonspur Hellblade Hanging Sign</t>
  </si>
  <si>
    <t>Demonspur Hellblade Boat</t>
  </si>
  <si>
    <t>Demonspur Hellblade Chest Boat</t>
  </si>
  <si>
    <t>Demonspur Hellblade Leaves</t>
  </si>
  <si>
    <t>Demonspur Hellblade Falling Leaves</t>
  </si>
  <si>
    <t>Demonspur Hellblade Sapling</t>
  </si>
  <si>
    <t>hellbark_wood</t>
  </si>
  <si>
    <t>hellbark_planks</t>
  </si>
  <si>
    <t>hellbark_shelf</t>
  </si>
  <si>
    <t>hellbark_trapdoor</t>
  </si>
  <si>
    <t>hellbark_sign</t>
  </si>
  <si>
    <t>hellbark_boat</t>
  </si>
  <si>
    <t>hellbark_leaves</t>
  </si>
  <si>
    <t>hellbark_sapling</t>
  </si>
  <si>
    <t>stripped_hellbark_log</t>
  </si>
  <si>
    <t>stripped_hellbark_top</t>
  </si>
  <si>
    <t>stripped_hellbark_wood</t>
  </si>
  <si>
    <t>hellbark_door_bottom</t>
  </si>
  <si>
    <t>hellbark_door_top</t>
  </si>
  <si>
    <t>Grow a Demonspur Hellblade Tree</t>
  </si>
  <si>
    <t>Demonspur Hellbark Seeds</t>
  </si>
  <si>
    <t>Demonspur Hellbark Seedling</t>
  </si>
  <si>
    <t>Demonspur Hellbark Bark</t>
  </si>
  <si>
    <t>hellbark</t>
  </si>
  <si>
    <t>hellbark_seeds</t>
  </si>
  <si>
    <t>hellbark_seedling</t>
  </si>
  <si>
    <t>hellbark_bark</t>
  </si>
  <si>
    <t>Demonspur Hellbark Seed Pod</t>
  </si>
  <si>
    <t>Often sets itself ablaze to regrow it's leaves again next season.</t>
  </si>
  <si>
    <t>Straight trunk, jagged branches, dense canopy</t>
  </si>
  <si>
    <t>Nether, Hot Deserts, Lava Fields</t>
  </si>
  <si>
    <t>Industrial</t>
  </si>
  <si>
    <t>Tapped from eligible trees this sap can be cooked in a furnace to produce Redstone Dust.</t>
  </si>
  <si>
    <t>Grey</t>
  </si>
  <si>
    <t>Grey Arcanum Tree</t>
  </si>
  <si>
    <t>redstone_sap_bottle</t>
  </si>
  <si>
    <t>redstone_sap_bucket</t>
  </si>
  <si>
    <t>Bottle of Redstone Sap</t>
  </si>
  <si>
    <t>Bucket of Redstone Sap</t>
  </si>
  <si>
    <t>Bottle of Resin</t>
  </si>
  <si>
    <t>Bucket of Resin</t>
  </si>
  <si>
    <t>Bottle of Arcane Resin</t>
  </si>
  <si>
    <t>Bucket of Arcane Resin</t>
  </si>
  <si>
    <t>resin_bottle</t>
  </si>
  <si>
    <t>resin_bucket</t>
  </si>
  <si>
    <t>arcane_resin_bottle</t>
  </si>
  <si>
    <t>arcane_resin_bucket</t>
  </si>
  <si>
    <t>Arcane Resin Clump</t>
  </si>
  <si>
    <t>Arcane Resin Brick</t>
  </si>
  <si>
    <t>arcane_resin_clump</t>
  </si>
  <si>
    <t>arcane_resin_brick</t>
  </si>
  <si>
    <t>Grey Arcanum Seed Cone</t>
  </si>
  <si>
    <t>Grey Arcanum Seeds</t>
  </si>
  <si>
    <t>Grey Arcanum Seedling</t>
  </si>
  <si>
    <t>Grey Arcanum Bark</t>
  </si>
  <si>
    <t>grey_arcanum_seed_cone</t>
  </si>
  <si>
    <t>grey_arcanum_seeds</t>
  </si>
  <si>
    <t>grey_arcanum_seedling</t>
  </si>
  <si>
    <t>grey_arcanum_bark</t>
  </si>
  <si>
    <t>Grey Arcanum Log</t>
  </si>
  <si>
    <t>Grey Arcanum Log Top</t>
  </si>
  <si>
    <t>Grey Arcanum Wood</t>
  </si>
  <si>
    <t>Stripped Grey Arcanum Log</t>
  </si>
  <si>
    <t>Stripped Grey Arcanum Log Top</t>
  </si>
  <si>
    <t>Stripped Grey Arcanum Wood</t>
  </si>
  <si>
    <t>magic_log</t>
  </si>
  <si>
    <t>Grey Arcanum Planks</t>
  </si>
  <si>
    <t>Grey Arcanum Shelf</t>
  </si>
  <si>
    <t>Grey Arcanum Door Top</t>
  </si>
  <si>
    <t>Grey Arcanum Door Bottom</t>
  </si>
  <si>
    <t>Grey Arcanum Trapdoor</t>
  </si>
  <si>
    <t>Grey Arcanum Sign</t>
  </si>
  <si>
    <t>Grey Arcanum Hanging Sign</t>
  </si>
  <si>
    <t>Grey Arcanum Boat</t>
  </si>
  <si>
    <t>Grey Arcanum Chest Boat</t>
  </si>
  <si>
    <t>Grey Arcanum Leaves</t>
  </si>
  <si>
    <t>Grey Arcanum Falling Leaves</t>
  </si>
  <si>
    <t>Grey Arcanum Sapling</t>
  </si>
  <si>
    <t>Etherealum Goldeus</t>
  </si>
  <si>
    <t>Gold Ethereal Tree</t>
  </si>
  <si>
    <t>Legendary ethereal broadleaf with striking white bark and cool blue-white energy glowing through deep fissures; produces Lapis Sap and emits a faint crystalline chime, serving as a calm counterpart to the Demonspur Hellblade Tree.  Golden leaves adourn it's white frame.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</si>
</sst>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x14ac:knownFonts="1">
    <font>
      <sz val="11"/>
      <color theme="1"/>
      <name val="Aptos Narrow"/>
    </font>
    <font>
      <sz val="18"/>
      <color theme="3"/>
      <name val="Aptos Display"/>
      <family val="2"/>
    </font>
    <font>
      <b/>
      <sz val="15"/>
      <color theme="3"/>
      <name val="Aptos Narrow"/>
      <family val="2"/>
    </font>
    <font>
      <b/>
      <sz val="13"/>
      <color theme="3"/>
      <name val="Aptos Narrow"/>
      <family val="2"/>
    </font>
    <font>
      <sz val="8"/>
      <color theme="1"/>
      <name val="Aptos Narrow"/>
      <family val="2"/>
    </font>
    <font>
      <b/>
      <sz val="11"/>
      <color rgb="FF17365D"/>
      <name val="Aptos Narrow"/>
      <family val="2"/>
    </font>
    <font>
      <b/>
      <sz val="11"/>
      <color rgb="FFFFFFFF"/>
      <name val="Aptos Narrow"/>
      <family val="2"/>
    </font>
    <font>
      <sz val="11"/>
      <color theme="1"/>
      <name val="Aptos"/>
      <family val="2"/>
    </font>
    <font>
      <sz val="11"/>
      <color rgb="FF404040"/>
      <name val="Aptos"/>
      <family val="2"/>
    </font>
    <font>
      <b/>
      <sz val="11"/>
      <color theme="3"/>
      <name val="Calibri"/>
      <family val="2"/>
      <scheme val="minor"/>
    </font>
    <font>
      <sz val="8"/>
      <color theme="1"/>
      <name val="Aptos Narrow"/>
      <family val="2"/>
    </font>
    <font>
      <b/>
      <sz val="8"/>
      <color theme="1"/>
      <name val="Aptos Narrow"/>
      <family val="2"/>
    </font>
    <font>
      <b/>
      <sz val="15"/>
      <color theme="3"/>
      <name val="Aptos Black"/>
      <family val="2"/>
    </font>
    <font>
      <b/>
      <sz val="13"/>
      <color theme="3"/>
      <name val="Aptos Black"/>
      <family val="2"/>
    </font>
    <font>
      <b/>
      <sz val="18"/>
      <color theme="3"/>
      <name val="Aptos Display"/>
      <family val="2"/>
    </font>
    <font>
      <sz val="8"/>
      <color theme="1"/>
      <name val="Aptos Light"/>
      <family val="2"/>
    </font>
    <font>
      <b/>
      <sz val="8"/>
      <color theme="1"/>
      <name val="Aptos Light"/>
      <family val="2"/>
    </font>
    <font>
      <sz val="8"/>
      <color rgb="FF000000"/>
      <name val="Aptos Narrow"/>
      <family val="2"/>
    </font>
    <font>
      <b/>
      <sz val="8"/>
      <color rgb="FF17365D"/>
      <name val="Aptos"/>
      <family val="2"/>
    </font>
    <font>
      <i/>
      <sz val="8"/>
      <color rgb="FF2F75B5"/>
      <name val="Aptos Narrow"/>
      <family val="2"/>
    </font>
    <font>
      <sz val="8"/>
      <color theme="4" tint="-0.499984740745262"/>
      <name val="Aptos Light"/>
      <family val="2"/>
    </font>
    <font>
      <sz val="8"/>
      <color theme="4" tint="-0.499984740745262"/>
      <name val="Aptos Narrow"/>
      <family val="2"/>
    </font>
    <font>
      <b/>
      <sz val="8"/>
      <color rgb="FF17365D"/>
      <name val="Aptos"/>
      <family val="2"/>
    </font>
    <font>
      <b/>
      <sz val="11"/>
      <color theme="3"/>
      <name val="Calibri"/>
      <family val="2"/>
    </font>
    <font>
      <b/>
      <sz val="8"/>
      <color theme="1"/>
      <name val="Aptos Light"/>
      <family val="2"/>
    </font>
    <font>
      <sz val="8"/>
      <color theme="4" tint="-0.49995422223578601"/>
      <name val="Aptos Light"/>
      <family val="2"/>
    </font>
    <font>
      <i/>
      <sz val="8"/>
      <color theme="1"/>
      <name val="Aptos Narrow"/>
      <family val="2"/>
    </font>
    <font>
      <sz val="10"/>
      <color theme="1"/>
      <name val="Aptos Narrow"/>
      <family val="2"/>
    </font>
    <font>
      <sz val="8"/>
      <color theme="4" tint="-0.249977111117893"/>
      <name val="Aptos Narrow"/>
      <family val="2"/>
    </font>
    <font>
      <sz val="8"/>
      <color theme="4" tint="-0.49995422223578601"/>
      <name val="Aptos Light"/>
      <family val="2"/>
    </font>
    <font>
      <b/>
      <sz val="11"/>
      <color rgb="FF44546A"/>
      <name val="Aptos Narrow"/>
      <family val="2"/>
    </font>
    <font>
      <sz val="11"/>
      <color rgb="FF44546A"/>
      <name val="Aptos Narrow"/>
      <family val="2"/>
    </font>
    <font>
      <b/>
      <sz val="11"/>
      <color rgb="FF000000"/>
      <name val="Aptos Narrow"/>
      <family val="2"/>
    </font>
    <font>
      <sz val="11"/>
      <color rgb="FF334960"/>
      <name val="Aptos Narrow"/>
      <family val="2"/>
    </font>
    <font>
      <sz val="8"/>
      <color theme="5" tint="-0.249977111117893"/>
      <name val="Aptos Narrow"/>
      <family val="2"/>
    </font>
    <font>
      <sz val="11"/>
      <color theme="1"/>
      <name val="Calibri Light"/>
      <family val="2"/>
    </font>
    <font>
      <sz val="11"/>
      <color theme="1"/>
      <name val="Aptos Narrow"/>
      <family val="2"/>
    </font>
    <font>
      <b/>
      <sz val="11"/>
      <color theme="1"/>
      <name val="Aptos Narrow"/>
      <family val="2"/>
    </font>
    <font>
      <i/>
      <sz val="8"/>
      <color theme="4" tint="-0.499984740745262"/>
      <name val="Aptos Light"/>
      <family val="2"/>
    </font>
    <font>
      <b/>
      <sz val="8"/>
      <color theme="4" tint="-0.499984740745262"/>
      <name val="Aptos Light"/>
      <family val="2"/>
    </font>
    <font>
      <b/>
      <sz val="9"/>
      <color theme="4" tint="-0.499984740745262"/>
      <name val="Aptos Light"/>
      <family val="2"/>
    </font>
  </fonts>
  <fills count="8">
    <fill>
      <patternFill patternType="none"/>
    </fill>
    <fill>
      <patternFill patternType="gray125"/>
    </fill>
    <fill>
      <patternFill patternType="solid">
        <fgColor rgb="FFD9EAF2"/>
      </patternFill>
    </fill>
    <fill>
      <patternFill patternType="solid">
        <fgColor rgb="FF2F75B5"/>
      </patternFill>
    </fill>
    <fill>
      <patternFill patternType="solid">
        <fgColor rgb="FFF7F9FC"/>
      </patternFill>
    </fill>
    <fill>
      <patternFill patternType="solid">
        <fgColor theme="8" tint="0.79998168889431442"/>
        <bgColor indexed="64"/>
      </patternFill>
    </fill>
    <fill>
      <patternFill patternType="solid">
        <fgColor rgb="FFFFF2CC"/>
      </patternFill>
    </fill>
    <fill>
      <patternFill patternType="solid">
        <fgColor rgb="FFFFFF00"/>
        <bgColor indexed="64"/>
      </patternFill>
    </fill>
  </fills>
  <borders count="41">
    <border>
      <left/>
      <right/>
      <top/>
      <bottom/>
      <diagonal/>
    </border>
    <border>
      <left/>
      <right/>
      <top/>
      <bottom style="thick">
        <color theme="4"/>
      </bottom>
      <diagonal/>
    </border>
    <border>
      <left/>
      <right/>
      <top/>
      <bottom style="thick">
        <color theme="4" tint="0.49995422223578601"/>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medium">
        <color rgb="FF1F6D8C"/>
      </bottom>
      <diagonal/>
    </border>
    <border>
      <left style="thin">
        <color rgb="FFB4C6E7"/>
      </left>
      <right style="thin">
        <color rgb="FFB4C6E7"/>
      </right>
      <top style="thin">
        <color rgb="FFB4C6E7"/>
      </top>
      <bottom style="thin">
        <color rgb="FFB4C6E7"/>
      </bottom>
      <diagonal/>
    </border>
    <border>
      <left/>
      <right/>
      <top/>
      <bottom style="thin">
        <color rgb="FFD9E2F3"/>
      </bottom>
      <diagonal/>
    </border>
    <border>
      <left/>
      <right/>
      <top style="thin">
        <color rgb="FFD9E2F3"/>
      </top>
      <bottom style="thin">
        <color rgb="FFD9E2F3"/>
      </bottom>
      <diagonal/>
    </border>
    <border>
      <left/>
      <right/>
      <top style="thin">
        <color rgb="FFD9E2F3"/>
      </top>
      <bottom style="thin">
        <color rgb="FFB4C6E7"/>
      </bottom>
      <diagonal/>
    </border>
    <border>
      <left/>
      <right/>
      <top/>
      <bottom style="thin">
        <color rgb="FF000000"/>
      </bottom>
      <diagonal/>
    </border>
    <border>
      <left/>
      <right/>
      <top/>
      <bottom style="medium">
        <color theme="4" tint="0.39997558519241921"/>
      </bottom>
      <diagonal/>
    </border>
    <border>
      <left/>
      <right/>
      <top style="thick">
        <color theme="4" tint="0.49995422223578601"/>
      </top>
      <bottom style="thin">
        <color theme="4"/>
      </bottom>
      <diagonal/>
    </border>
    <border>
      <left/>
      <right/>
      <top style="medium">
        <color theme="4" tint="0.39997558519241921"/>
      </top>
      <bottom style="thin">
        <color theme="4"/>
      </bottom>
      <diagonal/>
    </border>
    <border>
      <left/>
      <right/>
      <top style="medium">
        <color theme="4" tint="0.39997558519241921"/>
      </top>
      <bottom/>
      <diagonal/>
    </border>
    <border>
      <left/>
      <right/>
      <top style="thin">
        <color theme="4"/>
      </top>
      <bottom/>
      <diagonal/>
    </border>
    <border>
      <left/>
      <right/>
      <top/>
      <bottom style="thin">
        <color theme="4"/>
      </bottom>
      <diagonal/>
    </border>
    <border>
      <left/>
      <right/>
      <top style="thick">
        <color theme="4" tint="0.49995422223578601"/>
      </top>
      <bottom style="thick">
        <color theme="4" tint="0.49995422223578601"/>
      </bottom>
      <diagonal/>
    </border>
    <border>
      <left style="thin">
        <color theme="4"/>
      </left>
      <right/>
      <top style="thick">
        <color theme="4" tint="0.49995422223578601"/>
      </top>
      <bottom style="thick">
        <color theme="4" tint="0.49995422223578601"/>
      </bottom>
      <diagonal/>
    </border>
    <border>
      <left/>
      <right style="thin">
        <color theme="4"/>
      </right>
      <top style="thick">
        <color theme="4" tint="0.49995422223578601"/>
      </top>
      <bottom style="thin">
        <color theme="4"/>
      </bottom>
      <diagonal/>
    </border>
    <border>
      <left/>
      <right style="thin">
        <color theme="4"/>
      </right>
      <top/>
      <bottom/>
      <diagonal/>
    </border>
    <border>
      <left/>
      <right style="thin">
        <color theme="4"/>
      </right>
      <top/>
      <bottom style="thick">
        <color theme="4" tint="0.49995422223578601"/>
      </bottom>
      <diagonal/>
    </border>
    <border>
      <left style="thin">
        <color theme="4"/>
      </left>
      <right/>
      <top/>
      <bottom style="thick">
        <color theme="4" tint="0.49995422223578601"/>
      </bottom>
      <diagonal/>
    </border>
    <border>
      <left/>
      <right/>
      <top/>
      <bottom style="thick">
        <color theme="4" tint="0.49992370372631001"/>
      </bottom>
      <diagonal/>
    </border>
    <border>
      <left style="thin">
        <color indexed="64"/>
      </left>
      <right style="thin">
        <color indexed="64"/>
      </right>
      <top style="thin">
        <color indexed="64"/>
      </top>
      <bottom style="thin">
        <color indexed="64"/>
      </bottom>
      <diagonal/>
    </border>
    <border>
      <left/>
      <right/>
      <top style="medium">
        <color theme="4" tint="0.39997558519241921"/>
      </top>
      <bottom style="thin">
        <color indexed="64"/>
      </bottom>
      <diagonal/>
    </border>
    <border>
      <left/>
      <right/>
      <top style="thin">
        <color indexed="64"/>
      </top>
      <bottom style="medium">
        <color theme="4" tint="0.39997558519241921"/>
      </bottom>
      <diagonal/>
    </border>
    <border>
      <left style="thin">
        <color indexed="64"/>
      </left>
      <right/>
      <top/>
      <bottom/>
      <diagonal/>
    </border>
    <border>
      <left/>
      <right/>
      <top/>
      <bottom style="thick">
        <color rgb="FF8EA9C1"/>
      </bottom>
      <diagonal/>
    </border>
    <border>
      <left/>
      <right/>
      <top style="thick">
        <color rgb="FF8EA9C1"/>
      </top>
      <bottom style="thick">
        <color rgb="FF8EA9C1"/>
      </bottom>
      <diagonal/>
    </border>
    <border>
      <left/>
      <right/>
      <top style="thick">
        <color rgb="FF8EA9C1"/>
      </top>
      <bottom style="thin">
        <color rgb="FF5B9BD5"/>
      </bottom>
      <diagonal/>
    </border>
    <border>
      <left/>
      <right/>
      <top style="thick">
        <color theme="4" tint="0.49995422223578601"/>
      </top>
      <bottom style="thin">
        <color indexed="64"/>
      </bottom>
      <diagonal/>
    </border>
    <border>
      <left/>
      <right/>
      <top style="thin">
        <color indexed="64"/>
      </top>
      <bottom style="thin">
        <color indexed="64"/>
      </bottom>
      <diagonal/>
    </border>
  </borders>
  <cellStyleXfs count="8">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9" fillId="0" borderId="19" applyNumberFormat="0" applyFill="0" applyAlignment="0" applyProtection="0"/>
    <xf numFmtId="0" fontId="3" fillId="0" borderId="31" applyNumberFormat="0" applyFill="0" applyAlignment="0" applyProtection="0"/>
    <xf numFmtId="0" fontId="23" fillId="0" borderId="19" applyNumberFormat="0" applyFill="0" applyAlignment="0" applyProtection="0"/>
    <xf numFmtId="0" fontId="36" fillId="0" borderId="0"/>
  </cellStyleXfs>
  <cellXfs count="169">
    <xf numFmtId="0" fontId="0" fillId="0" borderId="0" xfId="0"/>
    <xf numFmtId="0" fontId="4" fillId="0" borderId="0" xfId="0" applyFont="1"/>
    <xf numFmtId="0" fontId="6" fillId="3" borderId="14" xfId="0" applyFont="1" applyFill="1" applyBorder="1" applyAlignment="1">
      <alignment horizontal="center" vertical="center" wrapText="1"/>
    </xf>
    <xf numFmtId="0" fontId="7" fillId="0" borderId="15" xfId="0" applyFont="1" applyBorder="1" applyAlignment="1">
      <alignment vertical="top" wrapText="1"/>
    </xf>
    <xf numFmtId="0" fontId="7" fillId="0" borderId="16" xfId="0" applyFont="1" applyBorder="1" applyAlignment="1">
      <alignment vertical="top" wrapText="1"/>
    </xf>
    <xf numFmtId="0" fontId="7" fillId="0" borderId="17" xfId="0" applyFont="1" applyBorder="1" applyAlignment="1">
      <alignment vertical="top" wrapText="1"/>
    </xf>
    <xf numFmtId="0" fontId="0" fillId="0" borderId="18" xfId="0" applyBorder="1"/>
    <xf numFmtId="0" fontId="10" fillId="0" borderId="0" xfId="0" applyFont="1"/>
    <xf numFmtId="0" fontId="11" fillId="0" borderId="20" xfId="0" applyFont="1" applyBorder="1"/>
    <xf numFmtId="0" fontId="15" fillId="0" borderId="0" xfId="0" applyFont="1"/>
    <xf numFmtId="0" fontId="11" fillId="0" borderId="20" xfId="0" applyFont="1" applyBorder="1" applyAlignment="1">
      <alignment horizontal="left"/>
    </xf>
    <xf numFmtId="0" fontId="16" fillId="0" borderId="21" xfId="0" applyFont="1" applyBorder="1"/>
    <xf numFmtId="0" fontId="11" fillId="0" borderId="20" xfId="0" applyFont="1" applyBorder="1" applyAlignment="1">
      <alignment horizontal="center"/>
    </xf>
    <xf numFmtId="0" fontId="0" fillId="0" borderId="0" xfId="0" applyAlignment="1">
      <alignment horizontal="center"/>
    </xf>
    <xf numFmtId="0" fontId="20" fillId="0" borderId="0" xfId="0" applyFont="1"/>
    <xf numFmtId="0" fontId="21" fillId="0" borderId="0" xfId="0" applyFont="1"/>
    <xf numFmtId="0" fontId="16" fillId="0" borderId="24" xfId="0" applyFont="1" applyBorder="1"/>
    <xf numFmtId="0" fontId="11" fillId="0" borderId="27" xfId="0" applyFont="1" applyBorder="1" applyAlignment="1">
      <alignment horizontal="center"/>
    </xf>
    <xf numFmtId="0" fontId="20" fillId="0" borderId="0" xfId="0" applyFont="1" applyAlignment="1">
      <alignment horizontal="center" vertical="center" wrapText="1"/>
    </xf>
    <xf numFmtId="0" fontId="0" fillId="0" borderId="0" xfId="0" applyAlignment="1">
      <alignment vertical="center"/>
    </xf>
    <xf numFmtId="0" fontId="20" fillId="0" borderId="0" xfId="0" applyFont="1" applyAlignment="1">
      <alignment vertical="center" wrapText="1"/>
    </xf>
    <xf numFmtId="0" fontId="11" fillId="0" borderId="20" xfId="0" applyFont="1" applyBorder="1" applyAlignment="1">
      <alignment horizontal="center" wrapText="1"/>
    </xf>
    <xf numFmtId="0" fontId="0" fillId="0" borderId="0" xfId="0" applyAlignment="1">
      <alignment horizontal="center" wrapText="1"/>
    </xf>
    <xf numFmtId="0" fontId="20" fillId="0" borderId="28" xfId="0" applyFont="1" applyBorder="1" applyAlignment="1">
      <alignment horizontal="center" vertical="center" wrapText="1"/>
    </xf>
    <xf numFmtId="0" fontId="16" fillId="0" borderId="0" xfId="0" applyFont="1"/>
    <xf numFmtId="0" fontId="0" fillId="0" borderId="0" xfId="0" applyAlignment="1">
      <alignment vertical="center" wrapText="1"/>
    </xf>
    <xf numFmtId="0" fontId="20" fillId="0" borderId="0" xfId="0" applyFont="1" applyAlignment="1">
      <alignment horizontal="left" vertical="center" wrapText="1"/>
    </xf>
    <xf numFmtId="0" fontId="25" fillId="0" borderId="0" xfId="0" applyFont="1" applyAlignment="1">
      <alignment horizontal="center" vertical="center" wrapText="1"/>
    </xf>
    <xf numFmtId="0" fontId="25" fillId="0" borderId="0" xfId="0" applyFont="1" applyAlignment="1">
      <alignment vertical="center" wrapText="1"/>
    </xf>
    <xf numFmtId="0" fontId="25" fillId="0" borderId="28" xfId="0" applyFont="1" applyBorder="1" applyAlignment="1">
      <alignment horizontal="center" vertical="center" wrapText="1"/>
    </xf>
    <xf numFmtId="0" fontId="24" fillId="0" borderId="21" xfId="0" applyFont="1" applyBorder="1"/>
    <xf numFmtId="0" fontId="25" fillId="0" borderId="0" xfId="0" applyFont="1" applyAlignment="1">
      <alignment horizontal="left" vertical="center" wrapText="1"/>
    </xf>
    <xf numFmtId="0" fontId="0" fillId="0" borderId="3" xfId="0" applyBorder="1"/>
    <xf numFmtId="0" fontId="27" fillId="0" borderId="3" xfId="0" applyFont="1" applyBorder="1"/>
    <xf numFmtId="0" fontId="27" fillId="0" borderId="0" xfId="0" applyFont="1"/>
    <xf numFmtId="0" fontId="26" fillId="0" borderId="0" xfId="0" applyFont="1" applyAlignment="1">
      <alignment horizontal="center"/>
    </xf>
    <xf numFmtId="0" fontId="0" fillId="0" borderId="6" xfId="0" applyBorder="1"/>
    <xf numFmtId="0" fontId="0" fillId="0" borderId="5" xfId="0" applyBorder="1"/>
    <xf numFmtId="0" fontId="0" fillId="0" borderId="10" xfId="0" applyBorder="1"/>
    <xf numFmtId="0" fontId="0" fillId="0" borderId="4" xfId="0" applyBorder="1"/>
    <xf numFmtId="0" fontId="10" fillId="0" borderId="5" xfId="0" applyFont="1" applyBorder="1"/>
    <xf numFmtId="0" fontId="10" fillId="0" borderId="6" xfId="0" applyFont="1" applyBorder="1"/>
    <xf numFmtId="0" fontId="10" fillId="0" borderId="3" xfId="0" applyFont="1" applyBorder="1"/>
    <xf numFmtId="0" fontId="10" fillId="0" borderId="4" xfId="0" applyFont="1" applyBorder="1"/>
    <xf numFmtId="0" fontId="10" fillId="0" borderId="10" xfId="0" applyFont="1" applyBorder="1"/>
    <xf numFmtId="0" fontId="10" fillId="0" borderId="0" xfId="0" applyFont="1" applyAlignment="1">
      <alignment horizontal="center" vertical="center"/>
    </xf>
    <xf numFmtId="0" fontId="10" fillId="0" borderId="0" xfId="0" applyFont="1" applyAlignment="1">
      <alignment vertical="center"/>
    </xf>
    <xf numFmtId="0" fontId="10" fillId="0" borderId="6" xfId="0" applyFont="1" applyBorder="1" applyAlignment="1">
      <alignment vertical="center"/>
    </xf>
    <xf numFmtId="0" fontId="10" fillId="0" borderId="7" xfId="0" applyFont="1" applyBorder="1" applyAlignment="1">
      <alignment vertical="center"/>
    </xf>
    <xf numFmtId="0" fontId="10" fillId="0" borderId="4" xfId="0" applyFont="1" applyBorder="1" applyAlignment="1">
      <alignment vertical="center"/>
    </xf>
    <xf numFmtId="0" fontId="10" fillId="0" borderId="3" xfId="0" applyFont="1" applyBorder="1" applyAlignment="1">
      <alignment vertical="center"/>
    </xf>
    <xf numFmtId="0" fontId="10" fillId="0" borderId="10" xfId="0" applyFont="1" applyBorder="1" applyAlignment="1">
      <alignment vertical="center"/>
    </xf>
    <xf numFmtId="0" fontId="10" fillId="0" borderId="5" xfId="0" applyFont="1" applyBorder="1" applyAlignment="1">
      <alignment vertical="center"/>
    </xf>
    <xf numFmtId="0" fontId="28" fillId="0" borderId="0" xfId="0" applyFont="1" applyAlignment="1">
      <alignment vertical="center" wrapText="1"/>
    </xf>
    <xf numFmtId="0" fontId="0" fillId="0" borderId="7" xfId="0" applyBorder="1"/>
    <xf numFmtId="0" fontId="0" fillId="0" borderId="35" xfId="0" applyBorder="1"/>
    <xf numFmtId="0" fontId="0" fillId="0" borderId="11" xfId="0" applyBorder="1"/>
    <xf numFmtId="0" fontId="26" fillId="0" borderId="32" xfId="0" applyFont="1" applyBorder="1" applyAlignment="1">
      <alignment horizontal="center"/>
    </xf>
    <xf numFmtId="0" fontId="0" fillId="0" borderId="32" xfId="0" applyBorder="1"/>
    <xf numFmtId="0" fontId="10" fillId="0" borderId="35" xfId="0" applyFont="1" applyBorder="1" applyAlignment="1">
      <alignment vertical="center"/>
    </xf>
    <xf numFmtId="0" fontId="10" fillId="0" borderId="11" xfId="0" applyFont="1" applyBorder="1" applyAlignment="1">
      <alignment vertical="center"/>
    </xf>
    <xf numFmtId="0" fontId="26" fillId="0" borderId="32" xfId="0" applyFont="1" applyBorder="1" applyAlignment="1">
      <alignment horizontal="center" vertical="center"/>
    </xf>
    <xf numFmtId="0" fontId="32" fillId="0" borderId="38" xfId="0" applyFont="1" applyBorder="1" applyAlignment="1">
      <alignment horizontal="center" vertical="center" wrapText="1"/>
    </xf>
    <xf numFmtId="0" fontId="33" fillId="0" borderId="0" xfId="0" applyFont="1" applyAlignment="1">
      <alignment horizontal="center" vertical="top" wrapText="1"/>
    </xf>
    <xf numFmtId="0" fontId="33" fillId="0" borderId="0" xfId="0" applyFont="1" applyAlignment="1">
      <alignment horizontal="left" vertical="top" wrapText="1"/>
    </xf>
    <xf numFmtId="0" fontId="33" fillId="6" borderId="0" xfId="0" applyFont="1" applyFill="1" applyAlignment="1">
      <alignment horizontal="center" vertical="top" wrapText="1"/>
    </xf>
    <xf numFmtId="0" fontId="33" fillId="6" borderId="0" xfId="0" applyFont="1" applyFill="1" applyAlignment="1">
      <alignment horizontal="left" vertical="top" wrapText="1"/>
    </xf>
    <xf numFmtId="0" fontId="21" fillId="0" borderId="0" xfId="0" applyFont="1" applyAlignment="1">
      <alignment horizontal="center"/>
    </xf>
    <xf numFmtId="0" fontId="20" fillId="7" borderId="0" xfId="0" applyFont="1" applyFill="1"/>
    <xf numFmtId="0" fontId="0" fillId="0" borderId="0" xfId="0" applyAlignment="1">
      <alignment horizontal="center" vertical="center" wrapText="1"/>
    </xf>
    <xf numFmtId="0" fontId="34" fillId="0" borderId="0" xfId="0" applyFont="1"/>
    <xf numFmtId="0" fontId="34" fillId="0" borderId="0" xfId="0" applyFont="1" applyAlignment="1">
      <alignment horizontal="center"/>
    </xf>
    <xf numFmtId="0" fontId="34" fillId="7" borderId="0" xfId="0" applyFont="1" applyFill="1"/>
    <xf numFmtId="0" fontId="34" fillId="7" borderId="0" xfId="0" applyFont="1" applyFill="1" applyAlignment="1">
      <alignment horizontal="center"/>
    </xf>
    <xf numFmtId="0" fontId="20" fillId="0" borderId="28" xfId="0" applyFont="1" applyBorder="1" applyAlignment="1">
      <alignment vertical="center" wrapText="1"/>
    </xf>
    <xf numFmtId="0" fontId="35" fillId="0" borderId="0" xfId="0" applyFont="1" applyAlignment="1">
      <alignment vertical="center" wrapText="1"/>
    </xf>
    <xf numFmtId="0" fontId="20" fillId="0" borderId="0" xfId="0" applyFont="1" applyAlignment="1">
      <alignment vertical="center"/>
    </xf>
    <xf numFmtId="0" fontId="20" fillId="0" borderId="0" xfId="0" applyFont="1" applyAlignment="1">
      <alignment horizontal="center" vertical="center"/>
    </xf>
    <xf numFmtId="0" fontId="20" fillId="0" borderId="28" xfId="0" applyFont="1" applyBorder="1" applyAlignment="1">
      <alignment horizontal="center" vertical="center"/>
    </xf>
    <xf numFmtId="0" fontId="20" fillId="0" borderId="0" xfId="0" quotePrefix="1" applyFont="1" applyAlignment="1">
      <alignment horizontal="left" vertical="center" wrapText="1"/>
    </xf>
    <xf numFmtId="0" fontId="36" fillId="0" borderId="0" xfId="0" applyFont="1"/>
    <xf numFmtId="0" fontId="37" fillId="0" borderId="0" xfId="0" applyFont="1"/>
    <xf numFmtId="0" fontId="20" fillId="0" borderId="0" xfId="0" applyFont="1" applyAlignment="1">
      <alignment horizontal="center"/>
    </xf>
    <xf numFmtId="0" fontId="39" fillId="0" borderId="0" xfId="0" applyFont="1"/>
    <xf numFmtId="0" fontId="40" fillId="0" borderId="39" xfId="0" applyFont="1" applyBorder="1"/>
    <xf numFmtId="0" fontId="40" fillId="0" borderId="39" xfId="0" applyFont="1" applyBorder="1" applyAlignment="1">
      <alignment horizontal="center"/>
    </xf>
    <xf numFmtId="2" fontId="20" fillId="0" borderId="0" xfId="0" applyNumberFormat="1" applyFont="1" applyAlignment="1">
      <alignment horizontal="center"/>
    </xf>
    <xf numFmtId="164" fontId="20" fillId="0" borderId="0" xfId="0" applyNumberFormat="1" applyFont="1" applyAlignment="1">
      <alignment horizontal="center"/>
    </xf>
    <xf numFmtId="0" fontId="40" fillId="0" borderId="39" xfId="0" applyFont="1" applyBorder="1" applyAlignment="1">
      <alignment horizontal="left"/>
    </xf>
    <xf numFmtId="0" fontId="39" fillId="0" borderId="0" xfId="0" applyFont="1" applyAlignment="1">
      <alignment horizontal="left"/>
    </xf>
    <xf numFmtId="0" fontId="9" fillId="0" borderId="0" xfId="4" applyBorder="1" applyAlignment="1"/>
    <xf numFmtId="0" fontId="39" fillId="0" borderId="39" xfId="0" applyFont="1" applyBorder="1"/>
    <xf numFmtId="0" fontId="39" fillId="0" borderId="39" xfId="0" applyFont="1" applyBorder="1" applyAlignment="1">
      <alignment horizontal="center"/>
    </xf>
    <xf numFmtId="0" fontId="39" fillId="0" borderId="33" xfId="0" applyFont="1" applyBorder="1"/>
    <xf numFmtId="0" fontId="38" fillId="0" borderId="0" xfId="0" applyFont="1" applyAlignment="1">
      <alignment vertical="center"/>
    </xf>
    <xf numFmtId="0" fontId="38" fillId="0" borderId="0" xfId="0" applyFont="1" applyAlignment="1">
      <alignment horizontal="center" vertical="center"/>
    </xf>
    <xf numFmtId="0" fontId="0" fillId="0" borderId="0" xfId="0" applyAlignment="1">
      <alignment wrapText="1"/>
    </xf>
    <xf numFmtId="0" fontId="29" fillId="0" borderId="0" xfId="0" applyFont="1" applyAlignment="1">
      <alignment horizontal="center" vertical="center" wrapText="1"/>
    </xf>
    <xf numFmtId="0" fontId="14" fillId="0" borderId="0" xfId="1" applyFont="1" applyAlignment="1">
      <alignment horizontal="center" vertical="center"/>
    </xf>
    <xf numFmtId="0" fontId="12" fillId="0" borderId="0" xfId="2" applyFont="1" applyBorder="1" applyAlignment="1">
      <alignment horizontal="center" vertical="center"/>
    </xf>
    <xf numFmtId="0" fontId="13" fillId="0" borderId="2" xfId="3" applyFont="1" applyAlignment="1">
      <alignment horizontal="center" vertical="center"/>
    </xf>
    <xf numFmtId="0" fontId="10" fillId="5" borderId="0" xfId="0" applyFont="1" applyFill="1" applyAlignment="1">
      <alignment horizontal="left" vertical="center"/>
    </xf>
    <xf numFmtId="0" fontId="10" fillId="0" borderId="0" xfId="0" applyFont="1" applyAlignment="1">
      <alignment horizontal="left" vertical="center"/>
    </xf>
    <xf numFmtId="0" fontId="10" fillId="0" borderId="3" xfId="0" applyFont="1" applyBorder="1" applyAlignment="1">
      <alignment horizontal="left" vertical="center"/>
    </xf>
    <xf numFmtId="0" fontId="10" fillId="0" borderId="8" xfId="0" applyFont="1" applyBorder="1" applyAlignment="1">
      <alignment horizontal="center" vertical="center"/>
    </xf>
    <xf numFmtId="0" fontId="10" fillId="0" borderId="10" xfId="0" applyFont="1" applyBorder="1" applyAlignment="1">
      <alignment horizontal="center" vertical="center"/>
    </xf>
    <xf numFmtId="0" fontId="9" fillId="0" borderId="34" xfId="4" applyBorder="1" applyAlignment="1">
      <alignment horizontal="center"/>
    </xf>
    <xf numFmtId="0" fontId="26" fillId="0" borderId="33" xfId="0" applyFont="1" applyBorder="1" applyAlignment="1">
      <alignment horizontal="center"/>
    </xf>
    <xf numFmtId="0" fontId="10" fillId="0" borderId="12" xfId="0" quotePrefix="1" applyFont="1" applyBorder="1" applyAlignment="1">
      <alignment horizontal="left" vertical="center"/>
    </xf>
    <xf numFmtId="0" fontId="10" fillId="0" borderId="7" xfId="0" applyFont="1" applyBorder="1" applyAlignment="1">
      <alignment horizontal="center" vertical="center"/>
    </xf>
    <xf numFmtId="0" fontId="10" fillId="0" borderId="5" xfId="0" applyFont="1" applyBorder="1" applyAlignment="1">
      <alignment horizontal="center" vertical="center"/>
    </xf>
    <xf numFmtId="0" fontId="0" fillId="0" borderId="12" xfId="0" applyBorder="1" applyAlignment="1">
      <alignment horizontal="center"/>
    </xf>
    <xf numFmtId="0" fontId="26" fillId="0" borderId="8" xfId="0" applyFont="1" applyBorder="1" applyAlignment="1">
      <alignment horizontal="center" vertical="center"/>
    </xf>
    <xf numFmtId="0" fontId="26" fillId="0" borderId="10" xfId="0" applyFont="1" applyBorder="1" applyAlignment="1">
      <alignment horizontal="center" vertical="center"/>
    </xf>
    <xf numFmtId="0" fontId="26" fillId="0" borderId="12" xfId="0" applyFont="1" applyBorder="1" applyAlignment="1">
      <alignment horizontal="center" wrapText="1"/>
    </xf>
    <xf numFmtId="0" fontId="26" fillId="0" borderId="0" xfId="0" applyFont="1" applyAlignment="1">
      <alignment horizontal="center" wrapText="1"/>
    </xf>
    <xf numFmtId="0" fontId="10" fillId="0" borderId="11" xfId="0" applyFont="1" applyBorder="1" applyAlignment="1">
      <alignment horizontal="center" vertical="center"/>
    </xf>
    <xf numFmtId="0" fontId="0" fillId="0" borderId="33" xfId="0" applyBorder="1" applyAlignment="1">
      <alignment horizontal="center"/>
    </xf>
    <xf numFmtId="0" fontId="10" fillId="0" borderId="9" xfId="0" applyFont="1" applyBorder="1" applyAlignment="1">
      <alignment horizontal="center" vertical="center"/>
    </xf>
    <xf numFmtId="0" fontId="26" fillId="0" borderId="12" xfId="0" applyFont="1" applyBorder="1" applyAlignment="1">
      <alignment horizontal="center"/>
    </xf>
    <xf numFmtId="0" fontId="26" fillId="0" borderId="0" xfId="0" applyFont="1" applyAlignment="1">
      <alignment horizontal="center" vertical="top"/>
    </xf>
    <xf numFmtId="0" fontId="26" fillId="0" borderId="0" xfId="0" applyFont="1" applyAlignment="1">
      <alignment horizontal="center" vertical="top" wrapText="1"/>
    </xf>
    <xf numFmtId="0" fontId="0" fillId="0" borderId="0" xfId="0" applyAlignment="1">
      <alignment horizontal="center"/>
    </xf>
    <xf numFmtId="0" fontId="9" fillId="0" borderId="19" xfId="4" applyAlignment="1">
      <alignment horizontal="center"/>
    </xf>
    <xf numFmtId="0" fontId="0" fillId="0" borderId="3" xfId="0" applyBorder="1" applyAlignment="1">
      <alignment horizontal="center"/>
    </xf>
    <xf numFmtId="0" fontId="14" fillId="0" borderId="3" xfId="1" applyFont="1" applyBorder="1" applyAlignment="1">
      <alignment horizontal="center"/>
    </xf>
    <xf numFmtId="0" fontId="2" fillId="0" borderId="1" xfId="2" applyAlignment="1">
      <alignment horizontal="center"/>
    </xf>
    <xf numFmtId="0" fontId="3" fillId="0" borderId="2" xfId="3" applyAlignment="1">
      <alignment horizontal="center"/>
    </xf>
    <xf numFmtId="0" fontId="26" fillId="0" borderId="22" xfId="0" applyFont="1" applyBorder="1" applyAlignment="1">
      <alignment horizontal="center"/>
    </xf>
    <xf numFmtId="0" fontId="5" fillId="2" borderId="13" xfId="0" applyFont="1" applyFill="1" applyBorder="1" applyAlignment="1">
      <alignment horizontal="left"/>
    </xf>
    <xf numFmtId="0" fontId="8" fillId="4" borderId="0" xfId="0" applyFont="1" applyFill="1" applyAlignment="1">
      <alignment wrapText="1"/>
    </xf>
    <xf numFmtId="0" fontId="14" fillId="0" borderId="0" xfId="1" applyFont="1" applyAlignment="1">
      <alignment horizontal="center"/>
    </xf>
    <xf numFmtId="0" fontId="12" fillId="0" borderId="1" xfId="2" applyFont="1" applyAlignment="1">
      <alignment horizontal="center"/>
    </xf>
    <xf numFmtId="0" fontId="13" fillId="0" borderId="2" xfId="3" applyFont="1" applyAlignment="1">
      <alignment horizontal="center"/>
    </xf>
    <xf numFmtId="0" fontId="4" fillId="0" borderId="22" xfId="0" applyFont="1" applyBorder="1" applyAlignment="1">
      <alignment horizontal="center" vertical="center"/>
    </xf>
    <xf numFmtId="0" fontId="4" fillId="0" borderId="3" xfId="0" applyFont="1" applyBorder="1" applyAlignment="1">
      <alignment horizontal="center" vertical="center"/>
    </xf>
    <xf numFmtId="0" fontId="22" fillId="0" borderId="22" xfId="0" applyFont="1" applyBorder="1" applyAlignment="1">
      <alignment horizontal="center" vertical="center"/>
    </xf>
    <xf numFmtId="0" fontId="22" fillId="0" borderId="3" xfId="0" applyFont="1" applyBorder="1" applyAlignment="1">
      <alignment horizontal="center" vertical="center"/>
    </xf>
    <xf numFmtId="0" fontId="10" fillId="0" borderId="22" xfId="0" applyFont="1" applyBorder="1" applyAlignment="1">
      <alignment horizontal="center" vertical="center"/>
    </xf>
    <xf numFmtId="0" fontId="17" fillId="0" borderId="18" xfId="0" applyFont="1" applyBorder="1" applyAlignment="1">
      <alignment horizontal="center" vertical="center" wrapText="1"/>
    </xf>
    <xf numFmtId="0" fontId="18" fillId="0" borderId="0" xfId="0" applyFont="1" applyAlignment="1">
      <alignment horizontal="center" vertical="center"/>
    </xf>
    <xf numFmtId="0" fontId="18" fillId="0" borderId="18" xfId="0" applyFont="1" applyBorder="1" applyAlignment="1">
      <alignment horizontal="center" vertical="center"/>
    </xf>
    <xf numFmtId="0" fontId="17" fillId="0" borderId="0" xfId="0" applyFont="1" applyAlignment="1">
      <alignment horizontal="center" vertical="center" wrapText="1"/>
    </xf>
    <xf numFmtId="0" fontId="9" fillId="0" borderId="19" xfId="4" applyAlignment="1">
      <alignment horizontal="center" vertical="center"/>
    </xf>
    <xf numFmtId="0" fontId="10" fillId="0" borderId="3" xfId="0" applyFont="1" applyBorder="1" applyAlignment="1">
      <alignment horizontal="center" vertical="center"/>
    </xf>
    <xf numFmtId="0" fontId="18" fillId="0" borderId="22" xfId="0" applyFont="1" applyBorder="1" applyAlignment="1">
      <alignment horizontal="center" vertical="center"/>
    </xf>
    <xf numFmtId="0" fontId="18" fillId="0" borderId="3" xfId="0" applyFont="1" applyBorder="1" applyAlignment="1">
      <alignment horizontal="center" vertical="center"/>
    </xf>
    <xf numFmtId="0" fontId="12" fillId="0" borderId="1" xfId="2" applyFont="1" applyAlignment="1">
      <alignment horizontal="center" vertical="center"/>
    </xf>
    <xf numFmtId="0" fontId="19" fillId="0" borderId="18" xfId="0" applyFont="1" applyBorder="1" applyAlignment="1">
      <alignment horizontal="center" vertical="center" wrapText="1"/>
    </xf>
    <xf numFmtId="0" fontId="38" fillId="0" borderId="40" xfId="0" applyFont="1" applyBorder="1" applyAlignment="1">
      <alignment horizontal="left"/>
    </xf>
    <xf numFmtId="0" fontId="13" fillId="0" borderId="25" xfId="3" applyFont="1" applyBorder="1" applyAlignment="1">
      <alignment horizontal="center" vertical="center"/>
    </xf>
    <xf numFmtId="0" fontId="13" fillId="0" borderId="26" xfId="3" applyFont="1" applyBorder="1" applyAlignment="1">
      <alignment horizontal="center" vertical="center"/>
    </xf>
    <xf numFmtId="0" fontId="13" fillId="0" borderId="30" xfId="3" applyFont="1" applyBorder="1" applyAlignment="1">
      <alignment horizontal="center" vertical="center"/>
    </xf>
    <xf numFmtId="0" fontId="13" fillId="0" borderId="29" xfId="3" applyFont="1" applyBorder="1" applyAlignment="1">
      <alignment horizontal="center" vertical="center"/>
    </xf>
    <xf numFmtId="0" fontId="13" fillId="0" borderId="0" xfId="3" applyFont="1" applyBorder="1" applyAlignment="1">
      <alignment horizontal="center" vertical="center"/>
    </xf>
    <xf numFmtId="0" fontId="30" fillId="0" borderId="0" xfId="0" applyFont="1" applyAlignment="1">
      <alignment horizontal="center" vertical="center"/>
    </xf>
    <xf numFmtId="0" fontId="30" fillId="0" borderId="36" xfId="0" applyFont="1" applyBorder="1" applyAlignment="1">
      <alignment horizontal="center" vertical="center"/>
    </xf>
    <xf numFmtId="0" fontId="31" fillId="0" borderId="0" xfId="0" applyFont="1" applyAlignment="1">
      <alignment horizontal="center"/>
    </xf>
    <xf numFmtId="0" fontId="30" fillId="0" borderId="37" xfId="0" applyFont="1" applyBorder="1" applyAlignment="1">
      <alignment horizontal="center" vertical="center"/>
    </xf>
    <xf numFmtId="0" fontId="20" fillId="0" borderId="0" xfId="0" applyFont="1" applyAlignment="1">
      <alignment horizontal="left" vertical="center" wrapText="1"/>
    </xf>
    <xf numFmtId="0" fontId="20" fillId="0" borderId="12" xfId="0" applyFont="1" applyBorder="1" applyAlignment="1">
      <alignment horizontal="left" vertical="center"/>
    </xf>
    <xf numFmtId="0" fontId="39" fillId="0" borderId="33" xfId="0" applyFont="1" applyBorder="1" applyAlignment="1">
      <alignment horizontal="left"/>
    </xf>
    <xf numFmtId="0" fontId="0" fillId="0" borderId="0" xfId="0"/>
    <xf numFmtId="0" fontId="20" fillId="0" borderId="0" xfId="0" applyFont="1" applyAlignment="1">
      <alignment horizontal="left" vertical="center"/>
    </xf>
    <xf numFmtId="0" fontId="20" fillId="0" borderId="0" xfId="0" applyFont="1" applyAlignment="1">
      <alignment horizontal="center" vertical="center"/>
    </xf>
    <xf numFmtId="0" fontId="23" fillId="0" borderId="0" xfId="6" applyBorder="1" applyAlignment="1">
      <alignment horizontal="left"/>
    </xf>
    <xf numFmtId="0" fontId="2" fillId="0" borderId="1" xfId="2" applyAlignment="1">
      <alignment horizontal="center" vertical="center"/>
    </xf>
    <xf numFmtId="0" fontId="9" fillId="0" borderId="23" xfId="4" applyBorder="1" applyAlignment="1">
      <alignment horizontal="center"/>
    </xf>
    <xf numFmtId="0" fontId="9" fillId="0" borderId="0" xfId="4" applyBorder="1" applyAlignment="1">
      <alignment horizontal="center"/>
    </xf>
  </cellXfs>
  <cellStyles count="8">
    <cellStyle name="Heading 1" xfId="2" xr:uid="{00000000-0005-0000-0000-000000000000}"/>
    <cellStyle name="Heading 2" xfId="3" xr:uid="{00000000-0005-0000-0000-000001000000}"/>
    <cellStyle name="Heading 2 2" xfId="5" xr:uid="{EA527A39-9E51-4D73-B45E-504DE0721943}"/>
    <cellStyle name="Heading 3" xfId="4" builtinId="18"/>
    <cellStyle name="Heading 3 2" xfId="6" xr:uid="{B88E17D4-6756-4DEC-9E50-5D2BA17A34BC}"/>
    <cellStyle name="Normal" xfId="0" builtinId="0"/>
    <cellStyle name="Normal 2" xfId="7" xr:uid="{5A3F43BA-BF6B-4F17-93CA-9BCE3C8EFC1D}"/>
    <cellStyle name="Title" xfId="1" xr:uid="{00000000-0005-0000-0000-000003000000}"/>
  </cellStyles>
  <dxfs count="9">
    <dxf>
      <font>
        <b val="0"/>
        <i val="0"/>
        <strike val="0"/>
        <u val="none"/>
        <color rgb="FFFF0000"/>
      </font>
      <fill>
        <patternFill patternType="darkGray">
          <fgColor rgb="FFFFE7E7"/>
        </patternFill>
      </fill>
    </dxf>
    <dxf>
      <font>
        <b/>
        <color rgb="FF4C3A73"/>
      </font>
      <fill>
        <patternFill>
          <bgColor rgb="FFE4DFEC"/>
        </patternFill>
      </fill>
    </dxf>
    <dxf>
      <font>
        <b/>
        <color rgb="FF843C0C"/>
      </font>
      <fill>
        <patternFill>
          <bgColor rgb="FFFCE4D6"/>
        </patternFill>
      </fill>
    </dxf>
    <dxf>
      <font>
        <b/>
        <color rgb="FF7F6000"/>
      </font>
      <fill>
        <patternFill>
          <bgColor rgb="FFFFF2CC"/>
        </patternFill>
      </fill>
    </dxf>
    <dxf>
      <font>
        <b/>
        <color rgb="FF375623"/>
      </font>
      <fill>
        <patternFill>
          <bgColor rgb="FFE2F0D9"/>
        </patternFill>
      </fill>
    </dxf>
    <dxf>
      <font>
        <b/>
        <color rgb="FF4C3A73"/>
      </font>
      <fill>
        <patternFill>
          <bgColor rgb="FFE4DFEC"/>
        </patternFill>
      </fill>
    </dxf>
    <dxf>
      <font>
        <b/>
        <color rgb="FF843C0C"/>
      </font>
      <fill>
        <patternFill>
          <bgColor rgb="FFFCE4D6"/>
        </patternFill>
      </fill>
    </dxf>
    <dxf>
      <font>
        <b/>
        <color rgb="FF7F6000"/>
      </font>
      <fill>
        <patternFill>
          <bgColor rgb="FFFFF2CC"/>
        </patternFill>
      </fill>
    </dxf>
    <dxf>
      <font>
        <b/>
        <color rgb="FF375623"/>
      </font>
      <fill>
        <patternFill>
          <bgColor rgb="FFE2F0D9"/>
        </patternFill>
      </fill>
    </dxf>
  </dxfs>
  <tableStyles count="0" defaultTableStyle="TableStyleMedium2" defaultPivotStyle="PivotStyleLight16"/>
  <colors>
    <mruColors>
      <color rgb="FFFFE7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eeDropsTable" displayName="TreeDropsTable" ref="A5:J11" totalsRowShown="0">
  <autoFilter ref="A5:J11" xr:uid="{00000000-0009-0000-0100-000001000000}"/>
  <tableColumns count="10">
    <tableColumn id="1" xr3:uid="{00000000-0010-0000-0000-000001000000}" name="Tree / Family"/>
    <tableColumn id="2" xr3:uid="{00000000-0010-0000-0000-000002000000}" name="Source"/>
    <tableColumn id="3" xr3:uid="{00000000-0010-0000-0000-000003000000}" name="Natural Drop"/>
    <tableColumn id="4" xr3:uid="{00000000-0010-0000-0000-000004000000}" name="Drop Form"/>
    <tableColumn id="5" xr3:uid="{00000000-0010-0000-0000-000005000000}" name="Player Processing"/>
    <tableColumn id="6" xr3:uid="{00000000-0010-0000-0000-000006000000}" name="Nursery Input"/>
    <tableColumn id="7" xr3:uid="{00000000-0010-0000-0000-000007000000}" name="Nursery Output"/>
    <tableColumn id="8" xr3:uid="{00000000-0010-0000-0000-000008000000}" name="Yield"/>
    <tableColumn id="9" xr3:uid="{00000000-0010-0000-0000-000009000000}" name="Status"/>
    <tableColumn id="10" xr3:uid="{00000000-0010-0000-0000-00000A000000}" name="Notes / Sour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cessingDropsTable" displayName="ProcessingDropsTable" ref="A14:G18" totalsRowShown="0">
  <autoFilter ref="A14:G18" xr:uid="{00000000-0009-0000-0100-000002000000}"/>
  <tableColumns count="7">
    <tableColumn id="1" xr3:uid="{00000000-0010-0000-0100-000001000000}" name="Action / Source"/>
    <tableColumn id="2" xr3:uid="{00000000-0010-0000-0100-000002000000}" name="Tool / Method"/>
    <tableColumn id="3" xr3:uid="{00000000-0010-0000-0100-000003000000}" name="Primary Output"/>
    <tableColumn id="4" xr3:uid="{00000000-0010-0000-0100-000004000000}" name="Additional Drop"/>
    <tableColumn id="5" xr3:uid="{00000000-0010-0000-0100-000005000000}" name="Quantity"/>
    <tableColumn id="6" xr3:uid="{00000000-0010-0000-0100-000006000000}" name="Status"/>
    <tableColumn id="7" xr3:uid="{00000000-0010-0000-0100-000007000000}" name="Design No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AA22C-C10E-400C-A2D4-581B713AC8D6}">
  <dimension ref="A1:DO142"/>
  <sheetViews>
    <sheetView zoomScaleNormal="100" workbookViewId="0">
      <selection activeCell="E113" sqref="E113"/>
    </sheetView>
  </sheetViews>
  <sheetFormatPr defaultRowHeight="15" x14ac:dyDescent="0.25"/>
  <cols>
    <col min="1" max="9" width="25" customWidth="1"/>
    <col min="10" max="10" width="27.140625" customWidth="1"/>
    <col min="11" max="22" width="15.7109375" customWidth="1"/>
  </cols>
  <sheetData>
    <row r="1" spans="1:10" ht="24" x14ac:dyDescent="0.4">
      <c r="A1" s="125" t="s">
        <v>155</v>
      </c>
      <c r="B1" s="125"/>
      <c r="C1" s="125"/>
      <c r="D1" s="125"/>
      <c r="E1" s="125"/>
      <c r="F1" s="125"/>
      <c r="G1" s="125"/>
      <c r="H1" s="125"/>
      <c r="I1" s="125"/>
      <c r="J1" s="125"/>
    </row>
    <row r="2" spans="1:10" ht="20.25" thickBot="1" x14ac:dyDescent="0.35">
      <c r="A2" s="126" t="s">
        <v>144</v>
      </c>
      <c r="B2" s="126"/>
      <c r="C2" s="126"/>
      <c r="D2" s="126"/>
      <c r="E2" s="126"/>
      <c r="F2" s="126"/>
      <c r="G2" s="126"/>
      <c r="H2" s="126"/>
      <c r="I2" s="126"/>
      <c r="J2" s="126"/>
    </row>
    <row r="3" spans="1:10" ht="18.75" thickTop="1" thickBot="1" x14ac:dyDescent="0.35">
      <c r="A3" s="127" t="s">
        <v>145</v>
      </c>
      <c r="B3" s="127"/>
      <c r="C3" s="127"/>
      <c r="D3" s="127"/>
      <c r="E3" s="127"/>
      <c r="F3" s="127"/>
      <c r="G3" s="127"/>
      <c r="H3" s="127"/>
      <c r="I3" s="127"/>
      <c r="J3" s="127"/>
    </row>
    <row r="4" spans="1:10" ht="16.5" thickTop="1" thickBot="1" x14ac:dyDescent="0.3">
      <c r="A4" s="123" t="s">
        <v>938</v>
      </c>
      <c r="B4" s="123"/>
      <c r="C4" s="123"/>
      <c r="D4" s="123"/>
      <c r="E4" s="123"/>
      <c r="F4" s="123"/>
      <c r="G4" s="123"/>
      <c r="H4" s="123"/>
      <c r="I4" s="123"/>
      <c r="J4" s="123"/>
    </row>
    <row r="5" spans="1:10" x14ac:dyDescent="0.25">
      <c r="A5" s="107" t="s">
        <v>939</v>
      </c>
      <c r="B5" s="128"/>
      <c r="C5" s="107"/>
      <c r="D5" s="128"/>
      <c r="E5" s="107"/>
      <c r="F5" s="128"/>
      <c r="G5" s="107"/>
      <c r="H5" s="107"/>
      <c r="I5" s="107"/>
      <c r="J5" s="107"/>
    </row>
    <row r="6" spans="1:10" x14ac:dyDescent="0.25">
      <c r="A6" s="119"/>
      <c r="B6" s="119"/>
      <c r="C6" s="119"/>
      <c r="D6" s="119"/>
      <c r="E6" s="119"/>
      <c r="F6" s="119"/>
      <c r="G6" s="119"/>
      <c r="H6" s="119"/>
      <c r="I6" s="119"/>
      <c r="J6" s="119"/>
    </row>
    <row r="7" spans="1:10" x14ac:dyDescent="0.25">
      <c r="A7" s="109" t="s">
        <v>3</v>
      </c>
      <c r="B7" s="33"/>
      <c r="C7" s="104" t="s">
        <v>837</v>
      </c>
      <c r="D7" s="33"/>
      <c r="E7" s="104" t="s">
        <v>846</v>
      </c>
      <c r="F7" s="33"/>
      <c r="G7" s="104" t="s">
        <v>847</v>
      </c>
    </row>
    <row r="8" spans="1:10" x14ac:dyDescent="0.25">
      <c r="A8" s="110"/>
      <c r="B8" s="34"/>
      <c r="C8" s="105"/>
      <c r="D8" s="34"/>
      <c r="E8" s="105"/>
      <c r="F8" s="34"/>
      <c r="G8" s="105"/>
    </row>
    <row r="9" spans="1:10" ht="15" customHeight="1" x14ac:dyDescent="0.25">
      <c r="A9" s="120" t="s">
        <v>839</v>
      </c>
      <c r="B9" s="7"/>
      <c r="C9" s="121" t="s">
        <v>840</v>
      </c>
      <c r="D9" s="7"/>
      <c r="E9" s="121" t="s">
        <v>842</v>
      </c>
      <c r="F9" s="7"/>
      <c r="G9" s="121" t="s">
        <v>841</v>
      </c>
    </row>
    <row r="10" spans="1:10" x14ac:dyDescent="0.25">
      <c r="A10" s="120"/>
      <c r="B10" s="7"/>
      <c r="C10" s="121"/>
      <c r="D10" s="7"/>
      <c r="E10" s="121"/>
      <c r="F10" s="7"/>
      <c r="G10" s="121"/>
    </row>
    <row r="11" spans="1:10" x14ac:dyDescent="0.25">
      <c r="A11" s="120"/>
      <c r="B11" s="7"/>
      <c r="C11" s="121"/>
      <c r="D11" s="7"/>
      <c r="E11" s="121"/>
      <c r="F11" s="7"/>
      <c r="G11" s="121"/>
    </row>
    <row r="12" spans="1:10" x14ac:dyDescent="0.25">
      <c r="A12" s="122"/>
      <c r="B12" s="122"/>
      <c r="C12" s="122"/>
      <c r="D12" s="122"/>
      <c r="E12" s="122"/>
      <c r="F12" s="122"/>
      <c r="G12" s="122"/>
      <c r="H12" s="122"/>
      <c r="I12" s="122"/>
      <c r="J12" s="122"/>
    </row>
    <row r="13" spans="1:10" x14ac:dyDescent="0.25">
      <c r="A13" s="109" t="s">
        <v>851</v>
      </c>
      <c r="B13" s="33"/>
      <c r="C13" s="104" t="s">
        <v>852</v>
      </c>
      <c r="D13" s="33"/>
      <c r="E13" s="104" t="s">
        <v>853</v>
      </c>
      <c r="F13" s="33"/>
      <c r="G13" s="104" t="s">
        <v>854</v>
      </c>
    </row>
    <row r="14" spans="1:10" x14ac:dyDescent="0.25">
      <c r="A14" s="110"/>
      <c r="B14" s="34"/>
      <c r="C14" s="105"/>
      <c r="D14" s="34"/>
      <c r="E14" s="105"/>
      <c r="F14" s="34"/>
      <c r="G14" s="105"/>
    </row>
    <row r="15" spans="1:10" ht="15" customHeight="1" x14ac:dyDescent="0.25">
      <c r="A15" s="121" t="s">
        <v>855</v>
      </c>
      <c r="B15" s="7"/>
      <c r="C15" s="121" t="s">
        <v>840</v>
      </c>
      <c r="D15" s="7"/>
      <c r="E15" s="121" t="s">
        <v>842</v>
      </c>
      <c r="F15" s="7"/>
      <c r="G15" s="121" t="s">
        <v>841</v>
      </c>
    </row>
    <row r="16" spans="1:10" x14ac:dyDescent="0.25">
      <c r="A16" s="121"/>
      <c r="B16" s="7"/>
      <c r="C16" s="121"/>
      <c r="D16" s="7"/>
      <c r="E16" s="121"/>
      <c r="F16" s="7"/>
      <c r="G16" s="121"/>
    </row>
    <row r="17" spans="1:10" x14ac:dyDescent="0.25">
      <c r="A17" s="121"/>
      <c r="B17" s="7"/>
      <c r="C17" s="121"/>
      <c r="D17" s="7"/>
      <c r="E17" s="121"/>
      <c r="F17" s="7"/>
      <c r="G17" s="121"/>
    </row>
    <row r="18" spans="1:10" x14ac:dyDescent="0.25">
      <c r="A18" s="124"/>
      <c r="B18" s="124"/>
      <c r="C18" s="124"/>
      <c r="D18" s="124"/>
      <c r="E18" s="124"/>
      <c r="F18" s="124"/>
      <c r="G18" s="124"/>
      <c r="H18" s="124"/>
      <c r="I18" s="124"/>
      <c r="J18" s="124"/>
    </row>
    <row r="19" spans="1:10" ht="15.75" thickBot="1" x14ac:dyDescent="0.3">
      <c r="A19" s="123" t="s">
        <v>843</v>
      </c>
      <c r="B19" s="123"/>
      <c r="C19" s="123"/>
      <c r="D19" s="123"/>
      <c r="E19" s="123"/>
      <c r="F19" s="123"/>
      <c r="G19" s="123"/>
      <c r="H19" s="123"/>
      <c r="I19" s="123"/>
      <c r="J19" s="123"/>
    </row>
    <row r="20" spans="1:10" x14ac:dyDescent="0.25">
      <c r="A20" s="107" t="s">
        <v>845</v>
      </c>
      <c r="B20" s="107"/>
      <c r="C20" s="107"/>
      <c r="D20" s="107"/>
      <c r="E20" s="107"/>
      <c r="F20" s="107"/>
      <c r="G20" s="107"/>
      <c r="H20" s="107"/>
      <c r="I20" s="107"/>
      <c r="J20" s="107"/>
    </row>
    <row r="21" spans="1:10" x14ac:dyDescent="0.25">
      <c r="A21" s="122"/>
      <c r="B21" s="122"/>
      <c r="C21" s="122"/>
      <c r="D21" s="122"/>
      <c r="E21" s="122"/>
      <c r="F21" s="122"/>
      <c r="G21" s="122"/>
      <c r="H21" s="122"/>
      <c r="I21" s="122"/>
      <c r="J21" s="122"/>
    </row>
    <row r="22" spans="1:10" x14ac:dyDescent="0.25">
      <c r="A22" s="7"/>
      <c r="B22" s="7"/>
      <c r="C22" s="40"/>
      <c r="D22" s="104" t="s">
        <v>844</v>
      </c>
      <c r="E22" s="7"/>
      <c r="F22" s="40"/>
      <c r="G22" s="104" t="s">
        <v>848</v>
      </c>
      <c r="H22" s="41"/>
      <c r="I22" s="42"/>
      <c r="J22" s="104" t="s">
        <v>849</v>
      </c>
    </row>
    <row r="23" spans="1:10" x14ac:dyDescent="0.25">
      <c r="A23" s="7"/>
      <c r="B23" s="43"/>
      <c r="C23" s="7"/>
      <c r="D23" s="105"/>
      <c r="E23" s="43"/>
      <c r="F23" s="7"/>
      <c r="G23" s="105"/>
      <c r="H23" s="7"/>
      <c r="I23" s="7"/>
      <c r="J23" s="105"/>
    </row>
    <row r="24" spans="1:10" x14ac:dyDescent="0.25">
      <c r="A24" s="7"/>
      <c r="B24" s="43"/>
      <c r="C24" s="7"/>
      <c r="D24" s="7"/>
      <c r="E24" s="43"/>
      <c r="F24" s="7"/>
      <c r="G24" s="7"/>
      <c r="H24" s="7"/>
      <c r="I24" s="7"/>
      <c r="J24" s="7"/>
    </row>
    <row r="25" spans="1:10" x14ac:dyDescent="0.25">
      <c r="A25" s="109" t="s">
        <v>3</v>
      </c>
      <c r="B25" s="41"/>
      <c r="C25" s="44"/>
      <c r="D25" s="104" t="s">
        <v>837</v>
      </c>
      <c r="E25" s="44"/>
      <c r="F25" s="42"/>
      <c r="G25" s="104" t="s">
        <v>846</v>
      </c>
      <c r="H25" s="41"/>
      <c r="I25" s="42"/>
      <c r="J25" s="104" t="s">
        <v>847</v>
      </c>
    </row>
    <row r="26" spans="1:10" x14ac:dyDescent="0.25">
      <c r="A26" s="110"/>
      <c r="B26" s="7"/>
      <c r="C26" s="7"/>
      <c r="D26" s="105"/>
      <c r="E26" s="7"/>
      <c r="F26" s="7"/>
      <c r="G26" s="105"/>
      <c r="H26" s="7"/>
      <c r="I26" s="7"/>
      <c r="J26" s="105"/>
    </row>
    <row r="27" spans="1:10" x14ac:dyDescent="0.25">
      <c r="A27" s="13"/>
      <c r="B27" s="13"/>
      <c r="C27" s="13"/>
      <c r="D27" s="13"/>
      <c r="E27" s="13"/>
      <c r="F27" s="13"/>
      <c r="G27" s="13"/>
      <c r="H27" s="13"/>
      <c r="I27" s="13"/>
      <c r="J27" s="13"/>
    </row>
    <row r="28" spans="1:10" x14ac:dyDescent="0.25">
      <c r="A28" s="46"/>
      <c r="B28" s="46"/>
      <c r="C28" s="46"/>
      <c r="D28" s="46"/>
      <c r="E28" s="46"/>
      <c r="F28" s="46"/>
      <c r="G28" s="46"/>
      <c r="H28" s="46"/>
      <c r="I28" s="46"/>
      <c r="J28" s="46"/>
    </row>
    <row r="29" spans="1:10" x14ac:dyDescent="0.25">
      <c r="A29" s="109" t="s">
        <v>851</v>
      </c>
      <c r="B29" s="47"/>
      <c r="C29" s="50"/>
      <c r="D29" s="104" t="s">
        <v>852</v>
      </c>
      <c r="E29" s="47"/>
      <c r="F29" s="52"/>
      <c r="G29" s="104" t="s">
        <v>846</v>
      </c>
      <c r="H29" s="47"/>
      <c r="I29" s="50"/>
      <c r="J29" s="104" t="s">
        <v>847</v>
      </c>
    </row>
    <row r="30" spans="1:10" x14ac:dyDescent="0.25">
      <c r="A30" s="110"/>
      <c r="B30" s="48"/>
      <c r="C30" s="46"/>
      <c r="D30" s="105"/>
      <c r="E30" s="48"/>
      <c r="F30" s="46"/>
      <c r="G30" s="105"/>
      <c r="H30" s="48"/>
      <c r="I30" s="46"/>
      <c r="J30" s="105"/>
    </row>
    <row r="31" spans="1:10" x14ac:dyDescent="0.25">
      <c r="A31" s="46"/>
      <c r="B31" s="49"/>
      <c r="C31" s="46"/>
      <c r="D31" s="46"/>
      <c r="E31" s="49"/>
      <c r="F31" s="46"/>
      <c r="G31" s="46"/>
      <c r="H31" s="49"/>
      <c r="I31" s="46"/>
      <c r="J31" s="46"/>
    </row>
    <row r="32" spans="1:10" x14ac:dyDescent="0.25">
      <c r="A32" s="46"/>
      <c r="B32" s="49"/>
      <c r="C32" s="51"/>
      <c r="D32" s="104" t="s">
        <v>844</v>
      </c>
      <c r="E32" s="49"/>
      <c r="F32" s="51"/>
      <c r="G32" s="104" t="s">
        <v>856</v>
      </c>
      <c r="H32" s="49"/>
      <c r="I32" s="47"/>
      <c r="J32" s="104" t="s">
        <v>857</v>
      </c>
    </row>
    <row r="33" spans="1:10" x14ac:dyDescent="0.25">
      <c r="A33" s="46"/>
      <c r="B33" s="46"/>
      <c r="C33" s="46"/>
      <c r="D33" s="105"/>
      <c r="E33" s="46"/>
      <c r="F33" s="46"/>
      <c r="G33" s="105"/>
      <c r="H33" s="46"/>
      <c r="I33" s="46"/>
      <c r="J33" s="105"/>
    </row>
    <row r="34" spans="1:10" x14ac:dyDescent="0.25">
      <c r="A34" s="42"/>
      <c r="B34" s="42"/>
      <c r="C34" s="42"/>
      <c r="D34" s="42"/>
      <c r="E34" s="42"/>
      <c r="F34" s="42"/>
      <c r="G34" s="42"/>
      <c r="H34" s="42"/>
      <c r="I34" s="42"/>
      <c r="J34" s="42"/>
    </row>
    <row r="35" spans="1:10" ht="15.75" thickBot="1" x14ac:dyDescent="0.3">
      <c r="A35" s="123" t="s">
        <v>850</v>
      </c>
      <c r="B35" s="123"/>
      <c r="C35" s="123"/>
      <c r="D35" s="123"/>
      <c r="E35" s="123"/>
      <c r="F35" s="123"/>
      <c r="G35" s="123"/>
      <c r="H35" s="123"/>
      <c r="I35" s="123"/>
      <c r="J35" s="123"/>
    </row>
    <row r="36" spans="1:10" x14ac:dyDescent="0.25">
      <c r="A36" s="107" t="s">
        <v>886</v>
      </c>
      <c r="B36" s="117"/>
      <c r="C36" s="117"/>
      <c r="D36" s="117"/>
      <c r="E36" s="117"/>
      <c r="F36" s="117"/>
      <c r="G36" s="117"/>
      <c r="H36" s="117"/>
      <c r="I36" s="117"/>
      <c r="J36" s="117"/>
    </row>
    <row r="38" spans="1:10" x14ac:dyDescent="0.25">
      <c r="C38" s="37"/>
      <c r="D38" s="104" t="s">
        <v>869</v>
      </c>
      <c r="F38" s="37"/>
      <c r="G38" s="104" t="s">
        <v>877</v>
      </c>
      <c r="I38" s="37"/>
      <c r="J38" s="104" t="s">
        <v>876</v>
      </c>
    </row>
    <row r="39" spans="1:10" x14ac:dyDescent="0.25">
      <c r="C39" s="55"/>
      <c r="D39" s="105"/>
      <c r="F39" s="55"/>
      <c r="G39" s="105"/>
      <c r="I39" s="55"/>
      <c r="J39" s="105"/>
    </row>
    <row r="40" spans="1:10" x14ac:dyDescent="0.25">
      <c r="C40" s="55"/>
      <c r="F40" s="55"/>
      <c r="I40" s="55"/>
    </row>
    <row r="41" spans="1:10" x14ac:dyDescent="0.25">
      <c r="C41" s="38"/>
      <c r="D41" s="104" t="s">
        <v>868</v>
      </c>
      <c r="F41" s="38"/>
      <c r="G41" s="104" t="s">
        <v>878</v>
      </c>
      <c r="I41" s="38"/>
      <c r="J41" s="104" t="s">
        <v>888</v>
      </c>
    </row>
    <row r="42" spans="1:10" x14ac:dyDescent="0.25">
      <c r="C42" s="55"/>
      <c r="D42" s="105"/>
      <c r="F42" s="55"/>
      <c r="G42" s="105"/>
      <c r="I42" s="55"/>
      <c r="J42" s="105"/>
    </row>
    <row r="43" spans="1:10" x14ac:dyDescent="0.25">
      <c r="C43" s="55"/>
      <c r="F43" s="55"/>
      <c r="I43" s="55"/>
    </row>
    <row r="44" spans="1:10" x14ac:dyDescent="0.25">
      <c r="C44" s="38"/>
      <c r="D44" s="104" t="s">
        <v>867</v>
      </c>
      <c r="E44" s="39"/>
      <c r="F44" s="38"/>
      <c r="G44" s="104" t="s">
        <v>879</v>
      </c>
      <c r="I44" s="38"/>
      <c r="J44" s="104" t="s">
        <v>889</v>
      </c>
    </row>
    <row r="45" spans="1:10" x14ac:dyDescent="0.25">
      <c r="B45" s="39"/>
      <c r="D45" s="105"/>
      <c r="E45" s="39"/>
      <c r="G45" s="105"/>
      <c r="J45" s="105"/>
    </row>
    <row r="46" spans="1:10" x14ac:dyDescent="0.25">
      <c r="B46" s="39"/>
      <c r="E46" s="39"/>
      <c r="G46" s="32"/>
      <c r="I46" s="55"/>
    </row>
    <row r="47" spans="1:10" x14ac:dyDescent="0.25">
      <c r="A47" s="109" t="s">
        <v>3</v>
      </c>
      <c r="B47" s="38"/>
      <c r="C47" s="36"/>
      <c r="D47" s="104" t="s">
        <v>873</v>
      </c>
      <c r="E47" s="38"/>
      <c r="F47" s="37"/>
      <c r="G47" s="118" t="s">
        <v>1</v>
      </c>
      <c r="H47" s="38"/>
      <c r="I47" s="37"/>
      <c r="J47" s="104" t="s">
        <v>838</v>
      </c>
    </row>
    <row r="48" spans="1:10" x14ac:dyDescent="0.25">
      <c r="A48" s="110"/>
      <c r="D48" s="105"/>
      <c r="G48" s="105"/>
      <c r="J48" s="105"/>
    </row>
    <row r="49" spans="1:10" x14ac:dyDescent="0.25">
      <c r="A49" s="45"/>
    </row>
    <row r="50" spans="1:10" x14ac:dyDescent="0.25">
      <c r="A50" s="45"/>
    </row>
    <row r="51" spans="1:10" x14ac:dyDescent="0.25">
      <c r="A51" s="109" t="s">
        <v>9</v>
      </c>
      <c r="B51" s="36"/>
      <c r="C51" s="32"/>
      <c r="D51" s="104" t="s">
        <v>874</v>
      </c>
      <c r="E51" s="36"/>
      <c r="F51" s="32"/>
      <c r="G51" s="104" t="s">
        <v>875</v>
      </c>
      <c r="H51" s="36"/>
      <c r="I51" s="32"/>
      <c r="J51" s="104" t="s">
        <v>887</v>
      </c>
    </row>
    <row r="52" spans="1:10" x14ac:dyDescent="0.25">
      <c r="A52" s="110"/>
      <c r="B52" s="54"/>
      <c r="D52" s="105"/>
      <c r="E52" s="54"/>
      <c r="F52" s="54"/>
      <c r="G52" s="105"/>
      <c r="H52" s="54"/>
      <c r="I52" s="54"/>
      <c r="J52" s="105"/>
    </row>
    <row r="53" spans="1:10" x14ac:dyDescent="0.25">
      <c r="A53" s="45"/>
      <c r="B53" s="39"/>
      <c r="E53" s="39"/>
      <c r="H53" s="39"/>
    </row>
    <row r="54" spans="1:10" x14ac:dyDescent="0.25">
      <c r="A54" s="45"/>
      <c r="B54" s="39"/>
      <c r="C54" s="38"/>
      <c r="D54" s="104" t="s">
        <v>871</v>
      </c>
      <c r="E54" s="39"/>
      <c r="F54" s="38"/>
      <c r="G54" s="104" t="s">
        <v>883</v>
      </c>
      <c r="H54" s="39"/>
      <c r="I54" s="38"/>
      <c r="J54" s="104" t="s">
        <v>880</v>
      </c>
    </row>
    <row r="55" spans="1:10" x14ac:dyDescent="0.25">
      <c r="A55" s="45"/>
      <c r="B55" s="39"/>
      <c r="D55" s="105"/>
      <c r="E55" s="39"/>
      <c r="G55" s="105"/>
      <c r="H55" s="39"/>
      <c r="J55" s="105"/>
    </row>
    <row r="56" spans="1:10" x14ac:dyDescent="0.25">
      <c r="A56" s="45"/>
      <c r="B56" s="39"/>
      <c r="F56" s="55"/>
      <c r="I56" s="55"/>
    </row>
    <row r="57" spans="1:10" x14ac:dyDescent="0.25">
      <c r="A57" s="45"/>
      <c r="B57" s="39"/>
      <c r="C57" s="38"/>
      <c r="D57" s="104" t="s">
        <v>870</v>
      </c>
      <c r="F57" s="38"/>
      <c r="G57" s="104" t="s">
        <v>884</v>
      </c>
      <c r="I57" s="38"/>
      <c r="J57" s="104" t="s">
        <v>881</v>
      </c>
    </row>
    <row r="58" spans="1:10" x14ac:dyDescent="0.25">
      <c r="A58" s="45"/>
      <c r="B58" s="39"/>
      <c r="D58" s="105"/>
      <c r="F58" s="56"/>
      <c r="G58" s="105"/>
      <c r="I58" s="56"/>
      <c r="J58" s="105"/>
    </row>
    <row r="59" spans="1:10" x14ac:dyDescent="0.25">
      <c r="A59" s="45"/>
      <c r="B59" s="39"/>
      <c r="F59" s="55"/>
      <c r="I59" s="55"/>
    </row>
    <row r="60" spans="1:10" x14ac:dyDescent="0.25">
      <c r="A60" s="45"/>
      <c r="B60" s="39"/>
      <c r="C60" s="38"/>
      <c r="D60" s="104" t="s">
        <v>872</v>
      </c>
      <c r="F60" s="38"/>
      <c r="G60" s="104" t="s">
        <v>885</v>
      </c>
      <c r="I60" s="38"/>
      <c r="J60" s="104" t="s">
        <v>882</v>
      </c>
    </row>
    <row r="61" spans="1:10" x14ac:dyDescent="0.25">
      <c r="A61" s="45"/>
      <c r="D61" s="105"/>
      <c r="G61" s="105"/>
      <c r="J61" s="105"/>
    </row>
    <row r="62" spans="1:10" x14ac:dyDescent="0.25">
      <c r="A62" s="45"/>
    </row>
    <row r="63" spans="1:10" ht="15.75" thickBot="1" x14ac:dyDescent="0.3">
      <c r="A63" s="106" t="s">
        <v>890</v>
      </c>
      <c r="B63" s="106"/>
      <c r="C63" s="106"/>
      <c r="D63" s="106"/>
      <c r="E63" s="106"/>
      <c r="F63" s="106"/>
      <c r="G63" s="106"/>
      <c r="H63" s="106"/>
      <c r="I63" s="106"/>
      <c r="J63" s="106"/>
    </row>
    <row r="64" spans="1:10" x14ac:dyDescent="0.25">
      <c r="A64" s="107" t="s">
        <v>940</v>
      </c>
      <c r="B64" s="117"/>
      <c r="C64" s="117"/>
      <c r="D64" s="117"/>
      <c r="E64" s="117"/>
      <c r="F64" s="117"/>
      <c r="G64" s="117"/>
      <c r="H64" s="117"/>
      <c r="I64" s="117"/>
      <c r="J64" s="117"/>
    </row>
    <row r="65" spans="1:10" x14ac:dyDescent="0.25">
      <c r="A65" s="45"/>
    </row>
    <row r="66" spans="1:10" x14ac:dyDescent="0.25">
      <c r="A66" s="45"/>
      <c r="C66" s="37"/>
      <c r="D66" s="104" t="s">
        <v>891</v>
      </c>
      <c r="F66" s="32"/>
      <c r="G66" s="104" t="s">
        <v>894</v>
      </c>
      <c r="I66" s="32"/>
      <c r="J66" s="104" t="s">
        <v>896</v>
      </c>
    </row>
    <row r="67" spans="1:10" x14ac:dyDescent="0.25">
      <c r="A67" s="45"/>
      <c r="B67" s="39"/>
      <c r="D67" s="105"/>
      <c r="F67" s="55"/>
      <c r="G67" s="105"/>
      <c r="I67" s="55"/>
      <c r="J67" s="105"/>
    </row>
    <row r="68" spans="1:10" x14ac:dyDescent="0.25">
      <c r="A68" s="45"/>
      <c r="B68" s="39"/>
      <c r="D68" s="35" t="s">
        <v>897</v>
      </c>
      <c r="F68" s="55"/>
      <c r="G68" s="35" t="s">
        <v>897</v>
      </c>
      <c r="I68" s="55"/>
      <c r="J68" s="57" t="s">
        <v>897</v>
      </c>
    </row>
    <row r="69" spans="1:10" x14ac:dyDescent="0.25">
      <c r="A69" s="109" t="s">
        <v>3</v>
      </c>
      <c r="B69" s="38"/>
      <c r="C69" s="32"/>
      <c r="D69" s="104" t="s">
        <v>873</v>
      </c>
      <c r="E69" s="36"/>
      <c r="F69" s="36"/>
      <c r="G69" s="104" t="s">
        <v>1</v>
      </c>
      <c r="H69" s="36"/>
      <c r="I69" s="38"/>
      <c r="J69" s="104" t="s">
        <v>838</v>
      </c>
    </row>
    <row r="70" spans="1:10" x14ac:dyDescent="0.25">
      <c r="A70" s="110"/>
      <c r="D70" s="105"/>
      <c r="G70" s="105"/>
      <c r="J70" s="105"/>
    </row>
    <row r="71" spans="1:10" x14ac:dyDescent="0.25">
      <c r="A71" s="45"/>
      <c r="J71" s="112" t="s">
        <v>898</v>
      </c>
    </row>
    <row r="72" spans="1:10" x14ac:dyDescent="0.25">
      <c r="A72" s="45"/>
      <c r="J72" s="113"/>
    </row>
    <row r="73" spans="1:10" x14ac:dyDescent="0.25">
      <c r="A73" s="109" t="s">
        <v>9</v>
      </c>
      <c r="B73" s="36"/>
      <c r="C73" s="32"/>
      <c r="D73" s="104" t="s">
        <v>874</v>
      </c>
      <c r="E73" s="36"/>
      <c r="F73" s="37"/>
      <c r="G73" s="104" t="s">
        <v>875</v>
      </c>
      <c r="H73" s="36"/>
      <c r="I73" s="32"/>
      <c r="J73" s="104" t="s">
        <v>887</v>
      </c>
    </row>
    <row r="74" spans="1:10" x14ac:dyDescent="0.25">
      <c r="A74" s="110"/>
      <c r="C74" s="56"/>
      <c r="D74" s="105"/>
      <c r="F74" s="56"/>
      <c r="G74" s="105"/>
      <c r="I74" s="56"/>
      <c r="J74" s="105"/>
    </row>
    <row r="75" spans="1:10" x14ac:dyDescent="0.25">
      <c r="A75" s="45"/>
      <c r="C75" s="55"/>
      <c r="F75" s="55"/>
      <c r="I75" s="55"/>
      <c r="J75" s="58"/>
    </row>
    <row r="76" spans="1:10" x14ac:dyDescent="0.25">
      <c r="A76" s="45"/>
      <c r="C76" s="38"/>
      <c r="D76" s="104" t="s">
        <v>892</v>
      </c>
      <c r="F76" s="36"/>
      <c r="G76" s="116" t="s">
        <v>893</v>
      </c>
      <c r="H76" s="55"/>
      <c r="I76" s="36"/>
      <c r="J76" s="104" t="s">
        <v>4</v>
      </c>
    </row>
    <row r="77" spans="1:10" x14ac:dyDescent="0.25">
      <c r="A77" s="45"/>
      <c r="D77" s="105"/>
      <c r="G77" s="105"/>
      <c r="J77" s="105"/>
    </row>
    <row r="78" spans="1:10" x14ac:dyDescent="0.25">
      <c r="A78" s="45"/>
      <c r="D78" s="114" t="s">
        <v>895</v>
      </c>
      <c r="G78" s="114" t="s">
        <v>895</v>
      </c>
      <c r="J78" s="114" t="s">
        <v>895</v>
      </c>
    </row>
    <row r="79" spans="1:10" x14ac:dyDescent="0.25">
      <c r="A79" s="45"/>
      <c r="D79" s="115"/>
      <c r="G79" s="115"/>
      <c r="J79" s="115"/>
    </row>
    <row r="81" spans="1:119" ht="15.75" thickBot="1" x14ac:dyDescent="0.3">
      <c r="A81" s="106" t="s">
        <v>899</v>
      </c>
      <c r="B81" s="106"/>
      <c r="C81" s="106"/>
      <c r="D81" s="106"/>
      <c r="E81" s="106"/>
      <c r="F81" s="106"/>
      <c r="G81" s="106"/>
      <c r="H81" s="106"/>
      <c r="I81" s="106"/>
      <c r="J81" s="106"/>
    </row>
    <row r="82" spans="1:119" x14ac:dyDescent="0.25">
      <c r="A82" s="107" t="s">
        <v>909</v>
      </c>
      <c r="B82" s="107"/>
      <c r="C82" s="107"/>
      <c r="D82" s="107"/>
      <c r="E82" s="107"/>
      <c r="F82" s="107"/>
      <c r="G82" s="107"/>
      <c r="H82" s="107"/>
      <c r="I82" s="107"/>
      <c r="J82" s="107"/>
    </row>
    <row r="84" spans="1:119" x14ac:dyDescent="0.25">
      <c r="A84" s="7"/>
      <c r="B84" s="7"/>
      <c r="C84" s="40"/>
      <c r="D84" s="104" t="s">
        <v>907</v>
      </c>
      <c r="E84" s="7"/>
      <c r="F84" s="40"/>
      <c r="G84" s="104" t="s">
        <v>910</v>
      </c>
      <c r="H84" s="41"/>
      <c r="I84" s="42"/>
      <c r="J84" s="104" t="s">
        <v>912</v>
      </c>
    </row>
    <row r="85" spans="1:119" x14ac:dyDescent="0.25">
      <c r="A85" s="7"/>
      <c r="B85" s="43"/>
      <c r="C85" s="7"/>
      <c r="D85" s="105"/>
      <c r="E85" s="43"/>
      <c r="F85" s="7"/>
      <c r="G85" s="105"/>
      <c r="H85" s="7"/>
      <c r="I85" s="7"/>
      <c r="J85" s="105"/>
    </row>
    <row r="86" spans="1:119" x14ac:dyDescent="0.25">
      <c r="A86" s="7"/>
      <c r="B86" s="43"/>
      <c r="C86" s="7"/>
      <c r="D86" s="7"/>
      <c r="E86" s="43"/>
      <c r="F86" s="7"/>
      <c r="G86" s="7"/>
      <c r="H86" s="7"/>
      <c r="I86" s="7"/>
      <c r="J86" s="7"/>
    </row>
    <row r="87" spans="1:119" x14ac:dyDescent="0.25">
      <c r="A87" s="109" t="s">
        <v>908</v>
      </c>
      <c r="B87" s="41"/>
      <c r="C87" s="44"/>
      <c r="D87" s="104" t="s">
        <v>906</v>
      </c>
      <c r="E87" s="44"/>
      <c r="F87" s="42"/>
      <c r="G87" s="104" t="s">
        <v>911</v>
      </c>
      <c r="H87" s="41"/>
      <c r="I87" s="42"/>
      <c r="J87" s="104" t="s">
        <v>913</v>
      </c>
      <c r="K87" s="1"/>
      <c r="L87" s="1"/>
      <c r="M87" s="1"/>
      <c r="N87" s="1"/>
      <c r="O87" s="1"/>
      <c r="P87" s="1"/>
    </row>
    <row r="88" spans="1:119" x14ac:dyDescent="0.25">
      <c r="A88" s="110"/>
      <c r="B88" s="7"/>
      <c r="C88" s="7"/>
      <c r="D88" s="105"/>
      <c r="E88" s="7"/>
      <c r="F88" s="7"/>
      <c r="G88" s="105"/>
      <c r="H88" s="7"/>
      <c r="I88" s="7"/>
      <c r="J88" s="105"/>
      <c r="K88" s="1"/>
      <c r="L88" s="1"/>
      <c r="M88" s="1"/>
      <c r="N88" s="1"/>
      <c r="O88" s="1"/>
      <c r="P88" s="1"/>
    </row>
    <row r="89" spans="1:119" x14ac:dyDescent="0.25">
      <c r="A89" s="13"/>
      <c r="B89" s="13"/>
      <c r="C89" s="13"/>
      <c r="D89" s="13"/>
      <c r="E89" s="13"/>
      <c r="F89" s="13"/>
      <c r="G89" s="13"/>
      <c r="H89" s="13"/>
      <c r="I89" s="13"/>
      <c r="J89" s="112" t="s">
        <v>898</v>
      </c>
      <c r="K89" s="1"/>
      <c r="L89" s="1"/>
      <c r="M89" s="1"/>
      <c r="N89" s="1"/>
      <c r="O89" s="1"/>
      <c r="P89" s="1"/>
    </row>
    <row r="90" spans="1:119" s="48" customFormat="1" ht="15" customHeight="1" x14ac:dyDescent="0.25">
      <c r="A90" s="46"/>
      <c r="B90" s="46"/>
      <c r="C90" s="46"/>
      <c r="D90" s="46"/>
      <c r="E90" s="46"/>
      <c r="F90" s="46"/>
      <c r="G90" s="46"/>
      <c r="H90" s="46"/>
      <c r="I90" s="46"/>
      <c r="J90" s="113"/>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c r="CD90" s="46"/>
      <c r="CE90" s="46"/>
      <c r="CF90" s="46"/>
      <c r="CG90" s="46"/>
      <c r="CH90" s="46"/>
      <c r="CI90" s="46"/>
      <c r="CJ90" s="46"/>
      <c r="CK90" s="46"/>
      <c r="CL90" s="46"/>
      <c r="CM90" s="46"/>
      <c r="CN90" s="46"/>
      <c r="CO90" s="46"/>
      <c r="CP90" s="46"/>
      <c r="CQ90" s="46"/>
      <c r="CR90" s="46"/>
      <c r="CS90" s="46"/>
      <c r="CT90" s="46"/>
      <c r="CU90" s="46"/>
      <c r="CV90" s="46"/>
      <c r="CW90" s="46"/>
      <c r="CX90" s="46"/>
      <c r="CY90" s="46"/>
      <c r="CZ90" s="46"/>
      <c r="DA90" s="46"/>
      <c r="DB90" s="46"/>
      <c r="DC90" s="46"/>
      <c r="DD90" s="46"/>
      <c r="DE90" s="46"/>
      <c r="DF90" s="46"/>
      <c r="DG90" s="46"/>
      <c r="DH90" s="46"/>
      <c r="DI90" s="46"/>
      <c r="DJ90" s="46"/>
      <c r="DK90" s="46"/>
      <c r="DL90" s="46"/>
      <c r="DM90" s="46"/>
      <c r="DN90" s="46"/>
      <c r="DO90" s="46"/>
    </row>
    <row r="91" spans="1:119" s="48" customFormat="1" ht="15" customHeight="1" x14ac:dyDescent="0.25">
      <c r="A91" s="109" t="s">
        <v>892</v>
      </c>
      <c r="B91" s="47"/>
      <c r="C91" s="50"/>
      <c r="D91" s="104" t="s">
        <v>905</v>
      </c>
      <c r="E91" s="47"/>
      <c r="F91" s="50"/>
      <c r="G91" s="104" t="s">
        <v>900</v>
      </c>
      <c r="H91" s="47"/>
      <c r="I91" s="50"/>
      <c r="J91" s="104" t="s">
        <v>901</v>
      </c>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c r="CD91" s="46"/>
      <c r="CE91" s="46"/>
      <c r="CF91" s="46"/>
      <c r="CG91" s="46"/>
      <c r="CH91" s="46"/>
      <c r="CI91" s="46"/>
      <c r="CJ91" s="46"/>
      <c r="CK91" s="46"/>
      <c r="CL91" s="46"/>
      <c r="CM91" s="46"/>
      <c r="CN91" s="46"/>
      <c r="CO91" s="46"/>
      <c r="CP91" s="46"/>
      <c r="CQ91" s="46"/>
      <c r="CR91" s="46"/>
      <c r="CS91" s="46"/>
      <c r="CT91" s="46"/>
      <c r="CU91" s="46"/>
      <c r="CV91" s="46"/>
      <c r="CW91" s="46"/>
      <c r="CX91" s="46"/>
      <c r="CY91" s="46"/>
      <c r="CZ91" s="46"/>
      <c r="DA91" s="46"/>
      <c r="DB91" s="46"/>
      <c r="DC91" s="46"/>
      <c r="DD91" s="46"/>
      <c r="DE91" s="46"/>
      <c r="DF91" s="46"/>
      <c r="DG91" s="46"/>
      <c r="DH91" s="46"/>
      <c r="DI91" s="46"/>
      <c r="DJ91" s="46"/>
      <c r="DK91" s="46"/>
      <c r="DL91" s="46"/>
      <c r="DM91" s="46"/>
      <c r="DN91" s="46"/>
      <c r="DO91" s="46"/>
    </row>
    <row r="92" spans="1:119" s="48" customFormat="1" ht="15" customHeight="1" x14ac:dyDescent="0.25">
      <c r="A92" s="110"/>
      <c r="B92" s="46"/>
      <c r="C92" s="60"/>
      <c r="D92" s="105"/>
      <c r="E92" s="46"/>
      <c r="F92" s="60"/>
      <c r="G92" s="105"/>
      <c r="H92" s="46"/>
      <c r="I92" s="60"/>
      <c r="J92" s="105"/>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c r="CD92" s="46"/>
      <c r="CE92" s="46"/>
      <c r="CF92" s="46"/>
      <c r="CG92" s="46"/>
      <c r="CH92" s="46"/>
      <c r="CI92" s="46"/>
      <c r="CJ92" s="46"/>
      <c r="CK92" s="46"/>
      <c r="CL92" s="46"/>
      <c r="CM92" s="46"/>
      <c r="CN92" s="46"/>
      <c r="CO92" s="46"/>
      <c r="CP92" s="46"/>
      <c r="CQ92" s="46"/>
      <c r="CR92" s="46"/>
      <c r="CS92" s="46"/>
      <c r="CT92" s="46"/>
      <c r="CU92" s="46"/>
      <c r="CV92" s="46"/>
      <c r="CW92" s="46"/>
      <c r="CX92" s="46"/>
      <c r="CY92" s="46"/>
      <c r="CZ92" s="46"/>
      <c r="DA92" s="46"/>
      <c r="DB92" s="46"/>
      <c r="DC92" s="46"/>
      <c r="DD92" s="46"/>
      <c r="DE92" s="46"/>
      <c r="DF92" s="46"/>
      <c r="DG92" s="46"/>
      <c r="DH92" s="46"/>
      <c r="DI92" s="46"/>
      <c r="DJ92" s="46"/>
      <c r="DK92" s="46"/>
      <c r="DL92" s="46"/>
      <c r="DM92" s="46"/>
      <c r="DN92" s="46"/>
      <c r="DO92" s="46"/>
    </row>
    <row r="93" spans="1:119" s="48" customFormat="1" ht="15" customHeight="1" x14ac:dyDescent="0.25">
      <c r="A93" s="46"/>
      <c r="B93" s="46"/>
      <c r="C93" s="59"/>
      <c r="D93" s="46"/>
      <c r="E93" s="46"/>
      <c r="F93" s="59"/>
      <c r="G93" s="46"/>
      <c r="H93" s="46"/>
      <c r="I93" s="59"/>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c r="CD93" s="46"/>
      <c r="CE93" s="46"/>
      <c r="CF93" s="46"/>
      <c r="CG93" s="46"/>
      <c r="CH93" s="46"/>
      <c r="CI93" s="46"/>
      <c r="CJ93" s="46"/>
      <c r="CK93" s="46"/>
      <c r="CL93" s="46"/>
      <c r="CM93" s="46"/>
      <c r="CN93" s="46"/>
      <c r="CO93" s="46"/>
      <c r="CP93" s="46"/>
      <c r="CQ93" s="46"/>
      <c r="CR93" s="46"/>
      <c r="CS93" s="46"/>
      <c r="CT93" s="46"/>
      <c r="CU93" s="46"/>
      <c r="CV93" s="46"/>
      <c r="CW93" s="46"/>
      <c r="CX93" s="46"/>
      <c r="CY93" s="46"/>
      <c r="CZ93" s="46"/>
      <c r="DA93" s="46"/>
      <c r="DB93" s="46"/>
      <c r="DC93" s="46"/>
      <c r="DD93" s="46"/>
      <c r="DE93" s="46"/>
      <c r="DF93" s="46"/>
      <c r="DG93" s="46"/>
      <c r="DH93" s="46"/>
      <c r="DI93" s="46"/>
      <c r="DJ93" s="46"/>
      <c r="DK93" s="46"/>
      <c r="DL93" s="46"/>
      <c r="DM93" s="46"/>
      <c r="DN93" s="46"/>
      <c r="DO93" s="46"/>
    </row>
    <row r="94" spans="1:119" s="48" customFormat="1" ht="15" customHeight="1" x14ac:dyDescent="0.25">
      <c r="A94" s="46"/>
      <c r="B94" s="46"/>
      <c r="C94" s="51"/>
      <c r="D94" s="104" t="s">
        <v>904</v>
      </c>
      <c r="E94" s="46"/>
      <c r="F94" s="47"/>
      <c r="G94" s="104" t="s">
        <v>903</v>
      </c>
      <c r="H94" s="46"/>
      <c r="I94" s="47"/>
      <c r="J94" s="104" t="s">
        <v>902</v>
      </c>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c r="BH94" s="46"/>
      <c r="BI94" s="46"/>
      <c r="BJ94" s="46"/>
      <c r="BK94" s="46"/>
      <c r="BL94" s="46"/>
      <c r="BM94" s="46"/>
      <c r="BN94" s="46"/>
      <c r="BO94" s="46"/>
      <c r="BP94" s="46"/>
      <c r="BQ94" s="46"/>
      <c r="BR94" s="46"/>
      <c r="BS94" s="46"/>
      <c r="BT94" s="46"/>
      <c r="BU94" s="46"/>
      <c r="BV94" s="46"/>
      <c r="BW94" s="46"/>
      <c r="BX94" s="46"/>
      <c r="BY94" s="46"/>
      <c r="BZ94" s="46"/>
      <c r="CA94" s="46"/>
      <c r="CB94" s="46"/>
      <c r="CC94" s="46"/>
      <c r="CD94" s="46"/>
      <c r="CE94" s="46"/>
      <c r="CF94" s="46"/>
      <c r="CG94" s="46"/>
      <c r="CH94" s="46"/>
      <c r="CI94" s="46"/>
      <c r="CJ94" s="46"/>
      <c r="CK94" s="46"/>
      <c r="CL94" s="46"/>
      <c r="CM94" s="46"/>
      <c r="CN94" s="46"/>
      <c r="CO94" s="46"/>
      <c r="CP94" s="46"/>
      <c r="CQ94" s="46"/>
      <c r="CR94" s="46"/>
      <c r="CS94" s="46"/>
      <c r="CT94" s="46"/>
      <c r="CU94" s="46"/>
      <c r="CV94" s="46"/>
      <c r="CW94" s="46"/>
      <c r="CX94" s="46"/>
      <c r="CY94" s="46"/>
      <c r="CZ94" s="46"/>
      <c r="DA94" s="46"/>
      <c r="DB94" s="46"/>
      <c r="DC94" s="46"/>
      <c r="DD94" s="46"/>
      <c r="DE94" s="46"/>
      <c r="DF94" s="46"/>
      <c r="DG94" s="46"/>
      <c r="DH94" s="46"/>
      <c r="DI94" s="46"/>
      <c r="DJ94" s="46"/>
      <c r="DK94" s="46"/>
      <c r="DL94" s="46"/>
      <c r="DM94" s="46"/>
      <c r="DN94" s="46"/>
      <c r="DO94" s="46"/>
    </row>
    <row r="95" spans="1:119" s="48" customFormat="1" ht="15" customHeight="1" x14ac:dyDescent="0.25">
      <c r="A95" s="46"/>
      <c r="B95" s="46"/>
      <c r="C95" s="46"/>
      <c r="D95" s="105"/>
      <c r="E95" s="46"/>
      <c r="F95" s="46"/>
      <c r="G95" s="105"/>
      <c r="H95" s="46"/>
      <c r="I95" s="46"/>
      <c r="J95" s="105"/>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c r="BJ95" s="46"/>
      <c r="BK95" s="46"/>
      <c r="BL95" s="46"/>
      <c r="BM95" s="46"/>
      <c r="BN95" s="46"/>
      <c r="BO95" s="46"/>
      <c r="BP95" s="46"/>
      <c r="BQ95" s="46"/>
      <c r="BR95" s="46"/>
      <c r="BS95" s="46"/>
      <c r="BT95" s="46"/>
      <c r="BU95" s="46"/>
      <c r="BV95" s="46"/>
      <c r="BW95" s="46"/>
      <c r="BX95" s="46"/>
      <c r="BY95" s="46"/>
      <c r="BZ95" s="46"/>
      <c r="CA95" s="46"/>
      <c r="CB95" s="46"/>
      <c r="CC95" s="46"/>
      <c r="CD95" s="46"/>
      <c r="CE95" s="46"/>
      <c r="CF95" s="46"/>
      <c r="CG95" s="46"/>
      <c r="CH95" s="46"/>
      <c r="CI95" s="46"/>
      <c r="CJ95" s="46"/>
      <c r="CK95" s="46"/>
      <c r="CL95" s="46"/>
      <c r="CM95" s="46"/>
      <c r="CN95" s="46"/>
      <c r="CO95" s="46"/>
      <c r="CP95" s="46"/>
      <c r="CQ95" s="46"/>
      <c r="CR95" s="46"/>
      <c r="CS95" s="46"/>
      <c r="CT95" s="46"/>
      <c r="CU95" s="46"/>
      <c r="CV95" s="46"/>
      <c r="CW95" s="46"/>
      <c r="CX95" s="46"/>
      <c r="CY95" s="46"/>
      <c r="CZ95" s="46"/>
      <c r="DA95" s="46"/>
      <c r="DB95" s="46"/>
      <c r="DC95" s="46"/>
      <c r="DD95" s="46"/>
      <c r="DE95" s="46"/>
      <c r="DF95" s="46"/>
      <c r="DG95" s="46"/>
      <c r="DH95" s="46"/>
      <c r="DI95" s="46"/>
      <c r="DJ95" s="46"/>
      <c r="DK95" s="46"/>
      <c r="DL95" s="46"/>
      <c r="DM95" s="46"/>
      <c r="DN95" s="46"/>
      <c r="DO95" s="46"/>
    </row>
    <row r="96" spans="1:119" x14ac:dyDescent="0.25">
      <c r="A96" s="7"/>
      <c r="B96" s="7"/>
      <c r="C96" s="7"/>
      <c r="D96" s="7"/>
      <c r="E96" s="7"/>
      <c r="F96" s="7"/>
      <c r="G96" s="7"/>
      <c r="H96" s="7"/>
      <c r="I96" s="7"/>
      <c r="J96" s="7"/>
      <c r="K96" s="1"/>
      <c r="L96" s="1"/>
      <c r="M96" s="1"/>
      <c r="N96" s="1"/>
      <c r="O96" s="1"/>
      <c r="P96" s="1"/>
    </row>
    <row r="97" spans="1:16" ht="15.75" thickBot="1" x14ac:dyDescent="0.3">
      <c r="A97" s="106" t="s">
        <v>914</v>
      </c>
      <c r="B97" s="106"/>
      <c r="C97" s="106"/>
      <c r="D97" s="106"/>
      <c r="E97" s="106"/>
      <c r="F97" s="106"/>
      <c r="G97" s="106"/>
      <c r="H97" s="106"/>
      <c r="I97" s="106"/>
      <c r="J97" s="106"/>
      <c r="K97" s="1"/>
      <c r="L97" s="1"/>
      <c r="M97" s="1"/>
      <c r="N97" s="1"/>
      <c r="O97" s="1"/>
      <c r="P97" s="1"/>
    </row>
    <row r="98" spans="1:16" x14ac:dyDescent="0.25">
      <c r="A98" s="107" t="s">
        <v>915</v>
      </c>
      <c r="B98" s="107"/>
      <c r="C98" s="107"/>
      <c r="D98" s="107"/>
      <c r="E98" s="107"/>
      <c r="F98" s="107"/>
      <c r="G98" s="107"/>
      <c r="H98" s="107"/>
      <c r="I98" s="107"/>
      <c r="J98" s="107"/>
      <c r="K98" s="1"/>
      <c r="L98" s="1"/>
      <c r="M98" s="1"/>
      <c r="N98" s="1"/>
      <c r="O98" s="1"/>
      <c r="P98" s="1"/>
    </row>
    <row r="99" spans="1:16" x14ac:dyDescent="0.25">
      <c r="H99" s="1"/>
      <c r="I99" s="1"/>
      <c r="J99" s="1"/>
      <c r="K99" s="1"/>
      <c r="L99" s="1"/>
      <c r="M99" s="1"/>
      <c r="N99" s="1"/>
      <c r="O99" s="1"/>
      <c r="P99" s="1"/>
    </row>
    <row r="100" spans="1:16" x14ac:dyDescent="0.25">
      <c r="C100" s="37"/>
      <c r="D100" s="104" t="s">
        <v>916</v>
      </c>
      <c r="F100" s="37"/>
      <c r="G100" s="104" t="s">
        <v>922</v>
      </c>
      <c r="I100" s="37"/>
      <c r="J100" s="104" t="s">
        <v>933</v>
      </c>
      <c r="K100" s="1"/>
      <c r="L100" s="1"/>
      <c r="M100" s="1"/>
      <c r="N100" s="1"/>
      <c r="O100" s="1"/>
      <c r="P100" s="1"/>
    </row>
    <row r="101" spans="1:16" x14ac:dyDescent="0.25">
      <c r="C101" s="55"/>
      <c r="D101" s="105"/>
      <c r="F101" s="55"/>
      <c r="G101" s="105"/>
      <c r="I101" s="55"/>
      <c r="J101" s="105"/>
      <c r="K101" s="1"/>
      <c r="L101" s="1"/>
      <c r="M101" s="1"/>
      <c r="N101" s="1"/>
      <c r="O101" s="1"/>
      <c r="P101" s="1"/>
    </row>
    <row r="102" spans="1:16" x14ac:dyDescent="0.25">
      <c r="C102" s="55"/>
      <c r="F102" s="55"/>
      <c r="I102" s="55"/>
    </row>
    <row r="103" spans="1:16" x14ac:dyDescent="0.25">
      <c r="C103" s="38"/>
      <c r="D103" s="104" t="s">
        <v>917</v>
      </c>
      <c r="F103" s="38"/>
      <c r="G103" s="104" t="s">
        <v>923</v>
      </c>
      <c r="I103" s="38"/>
      <c r="J103" s="104" t="s">
        <v>932</v>
      </c>
    </row>
    <row r="104" spans="1:16" x14ac:dyDescent="0.25">
      <c r="C104" s="55"/>
      <c r="D104" s="105"/>
      <c r="F104" s="55"/>
      <c r="G104" s="105"/>
      <c r="I104" s="55"/>
      <c r="J104" s="105"/>
    </row>
    <row r="105" spans="1:16" x14ac:dyDescent="0.25">
      <c r="C105" s="55"/>
      <c r="F105" s="55"/>
      <c r="I105" s="55"/>
    </row>
    <row r="106" spans="1:16" x14ac:dyDescent="0.25">
      <c r="C106" s="38"/>
      <c r="D106" s="104" t="s">
        <v>918</v>
      </c>
      <c r="F106" s="38"/>
      <c r="G106" s="104" t="s">
        <v>924</v>
      </c>
      <c r="I106" s="38"/>
      <c r="J106" s="104" t="s">
        <v>931</v>
      </c>
    </row>
    <row r="107" spans="1:16" x14ac:dyDescent="0.25">
      <c r="B107" s="39"/>
      <c r="D107" s="105"/>
      <c r="E107" s="39"/>
      <c r="G107" s="105"/>
      <c r="H107" s="39"/>
      <c r="J107" s="105"/>
    </row>
    <row r="108" spans="1:16" x14ac:dyDescent="0.25">
      <c r="B108" s="39"/>
      <c r="E108" s="39"/>
      <c r="H108" s="39"/>
    </row>
    <row r="109" spans="1:16" x14ac:dyDescent="0.25">
      <c r="A109" s="109" t="s">
        <v>891</v>
      </c>
      <c r="B109" s="38"/>
      <c r="C109" s="36"/>
      <c r="D109" s="104" t="s">
        <v>906</v>
      </c>
      <c r="E109" s="38"/>
      <c r="F109" s="36"/>
      <c r="G109" s="104" t="s">
        <v>911</v>
      </c>
      <c r="H109" s="38"/>
      <c r="I109" s="36"/>
      <c r="J109" s="104" t="s">
        <v>913</v>
      </c>
    </row>
    <row r="110" spans="1:16" x14ac:dyDescent="0.25">
      <c r="A110" s="110"/>
      <c r="D110" s="105"/>
      <c r="G110" s="105"/>
      <c r="J110" s="105"/>
    </row>
    <row r="111" spans="1:16" x14ac:dyDescent="0.25">
      <c r="A111" s="45"/>
      <c r="J111" s="112" t="s">
        <v>898</v>
      </c>
    </row>
    <row r="112" spans="1:16" x14ac:dyDescent="0.25">
      <c r="A112" s="45"/>
      <c r="J112" s="113"/>
    </row>
    <row r="113" spans="1:10" x14ac:dyDescent="0.25">
      <c r="A113" s="109" t="s">
        <v>892</v>
      </c>
      <c r="B113" s="36"/>
      <c r="C113" s="32"/>
      <c r="D113" s="104" t="s">
        <v>905</v>
      </c>
      <c r="E113" s="36"/>
      <c r="F113" s="32"/>
      <c r="G113" s="104" t="s">
        <v>900</v>
      </c>
      <c r="H113" s="36"/>
      <c r="I113" s="32"/>
      <c r="J113" s="104" t="s">
        <v>901</v>
      </c>
    </row>
    <row r="114" spans="1:10" x14ac:dyDescent="0.25">
      <c r="A114" s="110"/>
      <c r="B114" s="54"/>
      <c r="D114" s="105"/>
      <c r="E114" s="54"/>
      <c r="G114" s="105"/>
      <c r="H114" s="54"/>
      <c r="J114" s="105"/>
    </row>
    <row r="115" spans="1:10" x14ac:dyDescent="0.25">
      <c r="B115" s="39"/>
      <c r="E115" s="39"/>
      <c r="H115" s="39"/>
    </row>
    <row r="116" spans="1:10" x14ac:dyDescent="0.25">
      <c r="B116" s="39"/>
      <c r="C116" s="38"/>
      <c r="D116" s="104" t="s">
        <v>919</v>
      </c>
      <c r="E116" s="39"/>
      <c r="F116" s="38"/>
      <c r="G116" s="104" t="s">
        <v>925</v>
      </c>
      <c r="H116" s="39"/>
      <c r="I116" s="38"/>
      <c r="J116" s="104" t="s">
        <v>927</v>
      </c>
    </row>
    <row r="117" spans="1:10" x14ac:dyDescent="0.25">
      <c r="B117" s="39"/>
      <c r="D117" s="105"/>
      <c r="E117" s="39"/>
      <c r="G117" s="105"/>
      <c r="H117" s="39"/>
      <c r="J117" s="105"/>
    </row>
    <row r="118" spans="1:10" x14ac:dyDescent="0.25">
      <c r="B118" s="39"/>
      <c r="E118" s="39"/>
      <c r="H118" s="39"/>
    </row>
    <row r="119" spans="1:10" x14ac:dyDescent="0.25">
      <c r="B119" s="39"/>
      <c r="C119" s="38"/>
      <c r="D119" s="104" t="s">
        <v>920</v>
      </c>
      <c r="E119" s="39"/>
      <c r="F119" s="38"/>
      <c r="G119" s="104" t="s">
        <v>926</v>
      </c>
      <c r="H119" s="39"/>
      <c r="I119" s="38"/>
      <c r="J119" s="104" t="s">
        <v>928</v>
      </c>
    </row>
    <row r="120" spans="1:10" x14ac:dyDescent="0.25">
      <c r="B120" s="39"/>
      <c r="D120" s="105"/>
      <c r="E120" s="39"/>
      <c r="G120" s="105"/>
      <c r="H120" s="39"/>
      <c r="J120" s="105"/>
    </row>
    <row r="121" spans="1:10" x14ac:dyDescent="0.25">
      <c r="B121" s="39"/>
      <c r="E121" s="39"/>
      <c r="H121" s="39"/>
    </row>
    <row r="122" spans="1:10" x14ac:dyDescent="0.25">
      <c r="B122" s="39"/>
      <c r="C122" s="38"/>
      <c r="D122" s="104" t="s">
        <v>921</v>
      </c>
      <c r="E122" s="39"/>
      <c r="F122" s="38"/>
      <c r="G122" s="104" t="s">
        <v>930</v>
      </c>
      <c r="H122" s="39"/>
      <c r="I122" s="38"/>
      <c r="J122" s="104" t="s">
        <v>929</v>
      </c>
    </row>
    <row r="123" spans="1:10" x14ac:dyDescent="0.25">
      <c r="D123" s="105"/>
      <c r="G123" s="105"/>
      <c r="J123" s="105"/>
    </row>
    <row r="125" spans="1:10" ht="15.75" thickBot="1" x14ac:dyDescent="0.3">
      <c r="A125" s="106" t="s">
        <v>934</v>
      </c>
      <c r="B125" s="106"/>
      <c r="C125" s="106"/>
      <c r="D125" s="106"/>
      <c r="E125" s="106"/>
      <c r="F125" s="106"/>
      <c r="G125" s="106"/>
      <c r="H125" s="106"/>
      <c r="I125" s="106"/>
      <c r="J125" s="106"/>
    </row>
    <row r="126" spans="1:10" x14ac:dyDescent="0.25">
      <c r="A126" s="107" t="s">
        <v>937</v>
      </c>
      <c r="B126" s="107"/>
      <c r="C126" s="107"/>
      <c r="D126" s="107"/>
      <c r="E126" s="107"/>
      <c r="F126" s="107"/>
      <c r="G126" s="107"/>
      <c r="H126" s="107"/>
      <c r="I126" s="107"/>
      <c r="J126" s="107"/>
    </row>
    <row r="127" spans="1:10" x14ac:dyDescent="0.25">
      <c r="A127" s="111"/>
      <c r="B127" s="111"/>
      <c r="C127" s="111"/>
      <c r="D127" s="111"/>
      <c r="E127" s="111"/>
      <c r="F127" s="111"/>
      <c r="G127" s="111"/>
      <c r="H127" s="111"/>
      <c r="I127" s="111"/>
      <c r="J127" s="111"/>
    </row>
    <row r="128" spans="1:10" x14ac:dyDescent="0.25">
      <c r="A128" s="109" t="s">
        <v>892</v>
      </c>
      <c r="B128" s="36"/>
      <c r="C128" s="32"/>
      <c r="D128" s="104" t="s">
        <v>905</v>
      </c>
      <c r="E128" s="36"/>
      <c r="F128" s="32"/>
      <c r="G128" s="104" t="s">
        <v>900</v>
      </c>
      <c r="H128" s="36"/>
      <c r="I128" s="32"/>
      <c r="J128" s="104" t="s">
        <v>901</v>
      </c>
    </row>
    <row r="129" spans="1:10" x14ac:dyDescent="0.25">
      <c r="A129" s="110"/>
      <c r="B129" s="54"/>
      <c r="D129" s="105"/>
      <c r="E129" s="54"/>
      <c r="G129" s="105"/>
      <c r="H129" s="54"/>
      <c r="J129" s="105"/>
    </row>
    <row r="130" spans="1:10" x14ac:dyDescent="0.25">
      <c r="C130" s="55"/>
      <c r="F130" s="55"/>
      <c r="I130" s="55"/>
      <c r="J130" s="61" t="s">
        <v>936</v>
      </c>
    </row>
    <row r="131" spans="1:10" x14ac:dyDescent="0.25">
      <c r="C131" s="36"/>
      <c r="D131" s="104" t="s">
        <v>935</v>
      </c>
      <c r="F131" s="36"/>
      <c r="G131" s="104" t="s">
        <v>935</v>
      </c>
      <c r="I131" s="36"/>
      <c r="J131" s="104" t="s">
        <v>935</v>
      </c>
    </row>
    <row r="132" spans="1:10" x14ac:dyDescent="0.25">
      <c r="D132" s="105"/>
      <c r="G132" s="105"/>
      <c r="J132" s="105"/>
    </row>
    <row r="133" spans="1:10" x14ac:dyDescent="0.25">
      <c r="A133" s="32"/>
      <c r="B133" s="32"/>
      <c r="C133" s="32"/>
      <c r="D133" s="32"/>
      <c r="E133" s="32"/>
      <c r="F133" s="32"/>
      <c r="G133" s="32"/>
      <c r="H133" s="32"/>
      <c r="I133" s="32"/>
      <c r="J133" s="32"/>
    </row>
    <row r="134" spans="1:10" ht="15.75" thickBot="1" x14ac:dyDescent="0.3">
      <c r="A134" s="106" t="s">
        <v>941</v>
      </c>
      <c r="B134" s="106"/>
      <c r="C134" s="106"/>
      <c r="D134" s="106"/>
      <c r="E134" s="106"/>
      <c r="F134" s="106"/>
      <c r="G134" s="106"/>
      <c r="H134" s="106"/>
      <c r="I134" s="106"/>
      <c r="J134" s="106"/>
    </row>
    <row r="135" spans="1:10" x14ac:dyDescent="0.25">
      <c r="A135" s="107" t="s">
        <v>942</v>
      </c>
      <c r="B135" s="107"/>
      <c r="C135" s="107"/>
      <c r="D135" s="107"/>
      <c r="E135" s="107"/>
      <c r="F135" s="107"/>
      <c r="G135" s="107"/>
      <c r="H135" s="107"/>
      <c r="I135" s="107"/>
      <c r="J135" s="107"/>
    </row>
    <row r="136" spans="1:10" x14ac:dyDescent="0.25">
      <c r="A136" s="108" t="s">
        <v>943</v>
      </c>
      <c r="B136" s="108"/>
      <c r="C136" s="108"/>
      <c r="D136" s="108"/>
      <c r="E136" s="108"/>
      <c r="F136" s="108"/>
      <c r="G136" s="108"/>
      <c r="H136" s="108"/>
      <c r="I136" s="108"/>
      <c r="J136" s="108"/>
    </row>
    <row r="137" spans="1:10" x14ac:dyDescent="0.25">
      <c r="A137" s="101"/>
      <c r="B137" s="101"/>
      <c r="C137" s="101"/>
      <c r="D137" s="101"/>
      <c r="E137" s="101"/>
      <c r="F137" s="101"/>
      <c r="G137" s="101"/>
      <c r="H137" s="101"/>
      <c r="I137" s="101"/>
      <c r="J137" s="101"/>
    </row>
    <row r="138" spans="1:10" x14ac:dyDescent="0.25">
      <c r="A138" s="102"/>
      <c r="B138" s="102"/>
      <c r="C138" s="102"/>
      <c r="D138" s="102"/>
      <c r="E138" s="102"/>
      <c r="F138" s="102"/>
      <c r="G138" s="102"/>
      <c r="H138" s="102"/>
      <c r="I138" s="102"/>
      <c r="J138" s="102"/>
    </row>
    <row r="139" spans="1:10" x14ac:dyDescent="0.25">
      <c r="A139" s="101"/>
      <c r="B139" s="101"/>
      <c r="C139" s="101"/>
      <c r="D139" s="101"/>
      <c r="E139" s="101"/>
      <c r="F139" s="101"/>
      <c r="G139" s="101"/>
      <c r="H139" s="101"/>
      <c r="I139" s="101"/>
      <c r="J139" s="101"/>
    </row>
    <row r="140" spans="1:10" x14ac:dyDescent="0.25">
      <c r="A140" s="102"/>
      <c r="B140" s="102"/>
      <c r="C140" s="102"/>
      <c r="D140" s="102"/>
      <c r="E140" s="102"/>
      <c r="F140" s="102"/>
      <c r="G140" s="102"/>
      <c r="H140" s="102"/>
      <c r="I140" s="102"/>
      <c r="J140" s="102"/>
    </row>
    <row r="141" spans="1:10" x14ac:dyDescent="0.25">
      <c r="A141" s="101"/>
      <c r="B141" s="101"/>
      <c r="C141" s="101"/>
      <c r="D141" s="101"/>
      <c r="E141" s="101"/>
      <c r="F141" s="101"/>
      <c r="G141" s="101"/>
      <c r="H141" s="101"/>
      <c r="I141" s="101"/>
      <c r="J141" s="101"/>
    </row>
    <row r="142" spans="1:10" x14ac:dyDescent="0.25">
      <c r="A142" s="103"/>
      <c r="B142" s="103"/>
      <c r="C142" s="103"/>
      <c r="D142" s="103"/>
      <c r="E142" s="103"/>
      <c r="F142" s="103"/>
      <c r="G142" s="103"/>
      <c r="H142" s="103"/>
      <c r="I142" s="103"/>
      <c r="J142" s="103"/>
    </row>
  </sheetData>
  <mergeCells count="154">
    <mergeCell ref="A1:J1"/>
    <mergeCell ref="A2:J2"/>
    <mergeCell ref="A3:J3"/>
    <mergeCell ref="A4:J4"/>
    <mergeCell ref="A5:J5"/>
    <mergeCell ref="A13:A14"/>
    <mergeCell ref="C13:C14"/>
    <mergeCell ref="E13:E14"/>
    <mergeCell ref="G13:G14"/>
    <mergeCell ref="J25:J26"/>
    <mergeCell ref="A36:J36"/>
    <mergeCell ref="A7:A8"/>
    <mergeCell ref="C7:C8"/>
    <mergeCell ref="E7:E8"/>
    <mergeCell ref="G7:G8"/>
    <mergeCell ref="A9:A11"/>
    <mergeCell ref="C9:C11"/>
    <mergeCell ref="E9:E11"/>
    <mergeCell ref="G9:G11"/>
    <mergeCell ref="A12:J12"/>
    <mergeCell ref="A19:J19"/>
    <mergeCell ref="A21:J21"/>
    <mergeCell ref="A20:J20"/>
    <mergeCell ref="A35:J35"/>
    <mergeCell ref="C15:C17"/>
    <mergeCell ref="A15:A17"/>
    <mergeCell ref="E15:E17"/>
    <mergeCell ref="G15:G17"/>
    <mergeCell ref="A18:J18"/>
    <mergeCell ref="D38:D39"/>
    <mergeCell ref="A51:A52"/>
    <mergeCell ref="D51:D52"/>
    <mergeCell ref="D54:D55"/>
    <mergeCell ref="D57:D58"/>
    <mergeCell ref="D60:D61"/>
    <mergeCell ref="A6:J6"/>
    <mergeCell ref="A47:A48"/>
    <mergeCell ref="D47:D48"/>
    <mergeCell ref="D44:D45"/>
    <mergeCell ref="D41:D42"/>
    <mergeCell ref="A29:A30"/>
    <mergeCell ref="D29:D30"/>
    <mergeCell ref="D32:D33"/>
    <mergeCell ref="G29:G30"/>
    <mergeCell ref="G32:G33"/>
    <mergeCell ref="J29:J30"/>
    <mergeCell ref="J32:J33"/>
    <mergeCell ref="D22:D23"/>
    <mergeCell ref="G22:G23"/>
    <mergeCell ref="J22:J23"/>
    <mergeCell ref="A25:A26"/>
    <mergeCell ref="D25:D26"/>
    <mergeCell ref="G25:G26"/>
    <mergeCell ref="A73:A74"/>
    <mergeCell ref="D69:D70"/>
    <mergeCell ref="D73:D74"/>
    <mergeCell ref="D66:D67"/>
    <mergeCell ref="J38:J39"/>
    <mergeCell ref="J41:J42"/>
    <mergeCell ref="J44:J45"/>
    <mergeCell ref="A63:J63"/>
    <mergeCell ref="A64:J64"/>
    <mergeCell ref="A69:A70"/>
    <mergeCell ref="G69:G70"/>
    <mergeCell ref="G54:G55"/>
    <mergeCell ref="G57:G58"/>
    <mergeCell ref="G60:G61"/>
    <mergeCell ref="J47:J48"/>
    <mergeCell ref="J51:J52"/>
    <mergeCell ref="J54:J55"/>
    <mergeCell ref="J57:J58"/>
    <mergeCell ref="J60:J61"/>
    <mergeCell ref="G47:G48"/>
    <mergeCell ref="G51:G52"/>
    <mergeCell ref="G38:G39"/>
    <mergeCell ref="G41:G42"/>
    <mergeCell ref="G44:G45"/>
    <mergeCell ref="J73:J74"/>
    <mergeCell ref="J69:J70"/>
    <mergeCell ref="G78:G79"/>
    <mergeCell ref="J66:J67"/>
    <mergeCell ref="J71:J72"/>
    <mergeCell ref="J76:J77"/>
    <mergeCell ref="J78:J79"/>
    <mergeCell ref="G73:G74"/>
    <mergeCell ref="D76:D77"/>
    <mergeCell ref="G76:G77"/>
    <mergeCell ref="G66:G67"/>
    <mergeCell ref="D78:D79"/>
    <mergeCell ref="A87:A88"/>
    <mergeCell ref="D87:D88"/>
    <mergeCell ref="G87:G88"/>
    <mergeCell ref="J87:J88"/>
    <mergeCell ref="A91:A92"/>
    <mergeCell ref="D91:D92"/>
    <mergeCell ref="G91:G92"/>
    <mergeCell ref="A81:J81"/>
    <mergeCell ref="A82:J82"/>
    <mergeCell ref="J91:J92"/>
    <mergeCell ref="D94:D95"/>
    <mergeCell ref="G94:G95"/>
    <mergeCell ref="J94:J95"/>
    <mergeCell ref="G100:G101"/>
    <mergeCell ref="G103:G104"/>
    <mergeCell ref="G106:G107"/>
    <mergeCell ref="J89:J90"/>
    <mergeCell ref="D84:D85"/>
    <mergeCell ref="G84:G85"/>
    <mergeCell ref="J84:J85"/>
    <mergeCell ref="D119:D120"/>
    <mergeCell ref="A97:J97"/>
    <mergeCell ref="A98:J98"/>
    <mergeCell ref="D100:D101"/>
    <mergeCell ref="D103:D104"/>
    <mergeCell ref="D106:D107"/>
    <mergeCell ref="J100:J101"/>
    <mergeCell ref="J103:J104"/>
    <mergeCell ref="J106:J107"/>
    <mergeCell ref="A125:J125"/>
    <mergeCell ref="A126:J126"/>
    <mergeCell ref="A128:A129"/>
    <mergeCell ref="D128:D129"/>
    <mergeCell ref="G128:G129"/>
    <mergeCell ref="J128:J129"/>
    <mergeCell ref="A127:J127"/>
    <mergeCell ref="J109:J110"/>
    <mergeCell ref="J113:J114"/>
    <mergeCell ref="J116:J117"/>
    <mergeCell ref="J119:J120"/>
    <mergeCell ref="J122:J123"/>
    <mergeCell ref="J111:J112"/>
    <mergeCell ref="D122:D123"/>
    <mergeCell ref="G109:G110"/>
    <mergeCell ref="G113:G114"/>
    <mergeCell ref="G116:G117"/>
    <mergeCell ref="G119:G120"/>
    <mergeCell ref="G122:G123"/>
    <mergeCell ref="A109:A110"/>
    <mergeCell ref="D109:D110"/>
    <mergeCell ref="A113:A114"/>
    <mergeCell ref="D113:D114"/>
    <mergeCell ref="D116:D117"/>
    <mergeCell ref="A139:J139"/>
    <mergeCell ref="A140:J140"/>
    <mergeCell ref="A141:J141"/>
    <mergeCell ref="A142:J142"/>
    <mergeCell ref="D131:D132"/>
    <mergeCell ref="G131:G132"/>
    <mergeCell ref="J131:J132"/>
    <mergeCell ref="A134:J134"/>
    <mergeCell ref="A135:J135"/>
    <mergeCell ref="A136:J136"/>
    <mergeCell ref="A137:J137"/>
    <mergeCell ref="A138:J13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4"/>
  <sheetViews>
    <sheetView showGridLines="0" topLeftCell="A11" workbookViewId="0">
      <selection activeCell="E8" sqref="E8"/>
    </sheetView>
  </sheetViews>
  <sheetFormatPr defaultRowHeight="15" x14ac:dyDescent="0.25"/>
  <cols>
    <col min="1" max="1" width="20" customWidth="1"/>
    <col min="2" max="2" width="16" customWidth="1"/>
    <col min="3" max="4" width="20" customWidth="1"/>
    <col min="5" max="5" width="25" customWidth="1"/>
    <col min="6" max="6" width="21" customWidth="1"/>
    <col min="7" max="7" width="24" customWidth="1"/>
    <col min="8" max="8" width="21" customWidth="1"/>
    <col min="9" max="9" width="18" customWidth="1"/>
    <col min="10" max="10" width="58" customWidth="1"/>
  </cols>
  <sheetData>
    <row r="1" spans="1:10" ht="27.95" customHeight="1" x14ac:dyDescent="0.4">
      <c r="A1" s="131" t="s">
        <v>17</v>
      </c>
      <c r="B1" s="131"/>
      <c r="C1" s="131"/>
      <c r="D1" s="131"/>
      <c r="E1" s="131"/>
      <c r="F1" s="131"/>
      <c r="G1" s="131"/>
      <c r="H1" s="131"/>
      <c r="I1" s="131"/>
      <c r="J1" s="131"/>
    </row>
    <row r="2" spans="1:10" ht="24.95" customHeight="1" x14ac:dyDescent="0.3">
      <c r="A2" s="132" t="s">
        <v>144</v>
      </c>
      <c r="B2" s="132"/>
      <c r="C2" s="132"/>
      <c r="D2" s="132"/>
      <c r="E2" s="132"/>
      <c r="F2" s="132"/>
      <c r="G2" s="132"/>
      <c r="H2" s="132"/>
      <c r="I2" s="132"/>
      <c r="J2" s="132"/>
    </row>
    <row r="3" spans="1:10" ht="23.1" customHeight="1" x14ac:dyDescent="0.3">
      <c r="A3" s="133" t="s">
        <v>146</v>
      </c>
      <c r="B3" s="133"/>
      <c r="C3" s="133"/>
      <c r="D3" s="133"/>
      <c r="E3" s="133"/>
      <c r="F3" s="133"/>
      <c r="G3" s="133"/>
      <c r="H3" s="133"/>
      <c r="I3" s="133"/>
      <c r="J3" s="133"/>
    </row>
    <row r="4" spans="1:10" ht="23.1" customHeight="1" x14ac:dyDescent="0.25">
      <c r="A4" s="129" t="s">
        <v>18</v>
      </c>
      <c r="B4" s="129"/>
      <c r="C4" s="129"/>
      <c r="D4" s="129"/>
      <c r="E4" s="129"/>
      <c r="F4" s="129"/>
      <c r="G4" s="129"/>
      <c r="H4" s="129"/>
      <c r="I4" s="129"/>
      <c r="J4" s="129"/>
    </row>
    <row r="5" spans="1:10" ht="32.1" customHeight="1" x14ac:dyDescent="0.25">
      <c r="A5" s="2" t="s">
        <v>19</v>
      </c>
      <c r="B5" s="2" t="s">
        <v>20</v>
      </c>
      <c r="C5" s="2" t="s">
        <v>21</v>
      </c>
      <c r="D5" s="2" t="s">
        <v>22</v>
      </c>
      <c r="E5" s="2" t="s">
        <v>23</v>
      </c>
      <c r="F5" s="2" t="s">
        <v>24</v>
      </c>
      <c r="G5" s="2" t="s">
        <v>25</v>
      </c>
      <c r="H5" s="2" t="s">
        <v>26</v>
      </c>
      <c r="I5" s="2" t="s">
        <v>27</v>
      </c>
      <c r="J5" s="2" t="s">
        <v>28</v>
      </c>
    </row>
    <row r="6" spans="1:10" ht="62.1" customHeight="1" x14ac:dyDescent="0.25">
      <c r="A6" s="3" t="s">
        <v>29</v>
      </c>
      <c r="B6" s="3" t="s">
        <v>30</v>
      </c>
      <c r="C6" s="3" t="s">
        <v>31</v>
      </c>
      <c r="D6" s="3" t="s">
        <v>32</v>
      </c>
      <c r="E6" s="3" t="s">
        <v>33</v>
      </c>
      <c r="F6" s="3" t="s">
        <v>34</v>
      </c>
      <c r="G6" s="3" t="s">
        <v>35</v>
      </c>
      <c r="H6" s="3" t="s">
        <v>36</v>
      </c>
      <c r="I6" s="3" t="s">
        <v>37</v>
      </c>
      <c r="J6" s="3" t="s">
        <v>38</v>
      </c>
    </row>
    <row r="7" spans="1:10" ht="62.1" customHeight="1" x14ac:dyDescent="0.25">
      <c r="A7" s="4" t="s">
        <v>39</v>
      </c>
      <c r="B7" s="4" t="s">
        <v>30</v>
      </c>
      <c r="C7" s="4" t="s">
        <v>40</v>
      </c>
      <c r="D7" s="4" t="s">
        <v>41</v>
      </c>
      <c r="E7" s="4" t="s">
        <v>42</v>
      </c>
      <c r="F7" s="4" t="s">
        <v>40</v>
      </c>
      <c r="G7" s="4" t="s">
        <v>43</v>
      </c>
      <c r="H7" s="4" t="s">
        <v>44</v>
      </c>
      <c r="I7" s="4" t="s">
        <v>37</v>
      </c>
      <c r="J7" s="4" t="s">
        <v>45</v>
      </c>
    </row>
    <row r="8" spans="1:10" ht="62.1" customHeight="1" x14ac:dyDescent="0.25">
      <c r="A8" s="4" t="s">
        <v>46</v>
      </c>
      <c r="B8" s="4" t="s">
        <v>30</v>
      </c>
      <c r="C8" s="4" t="s">
        <v>47</v>
      </c>
      <c r="D8" s="4" t="s">
        <v>48</v>
      </c>
      <c r="E8" s="4" t="s">
        <v>49</v>
      </c>
      <c r="F8" s="4" t="s">
        <v>50</v>
      </c>
      <c r="G8" s="4" t="s">
        <v>51</v>
      </c>
      <c r="H8" s="4" t="s">
        <v>36</v>
      </c>
      <c r="I8" s="4" t="s">
        <v>52</v>
      </c>
      <c r="J8" s="4" t="s">
        <v>53</v>
      </c>
    </row>
    <row r="9" spans="1:10" ht="62.1" customHeight="1" x14ac:dyDescent="0.25">
      <c r="A9" s="4" t="s">
        <v>54</v>
      </c>
      <c r="B9" s="4" t="s">
        <v>30</v>
      </c>
      <c r="C9" s="4" t="s">
        <v>55</v>
      </c>
      <c r="D9" s="4" t="s">
        <v>56</v>
      </c>
      <c r="E9" s="4" t="s">
        <v>57</v>
      </c>
      <c r="F9" s="4" t="s">
        <v>58</v>
      </c>
      <c r="G9" s="4" t="s">
        <v>59</v>
      </c>
      <c r="H9" s="4" t="s">
        <v>60</v>
      </c>
      <c r="I9" s="4" t="s">
        <v>52</v>
      </c>
      <c r="J9" s="4" t="s">
        <v>61</v>
      </c>
    </row>
    <row r="10" spans="1:10" ht="62.1" customHeight="1" x14ac:dyDescent="0.25">
      <c r="A10" s="4" t="s">
        <v>62</v>
      </c>
      <c r="B10" s="4" t="s">
        <v>30</v>
      </c>
      <c r="C10" s="4" t="s">
        <v>63</v>
      </c>
      <c r="D10" s="4" t="s">
        <v>32</v>
      </c>
      <c r="E10" s="4" t="s">
        <v>64</v>
      </c>
      <c r="F10" s="4" t="s">
        <v>65</v>
      </c>
      <c r="G10" s="4" t="s">
        <v>66</v>
      </c>
      <c r="H10" s="4" t="s">
        <v>36</v>
      </c>
      <c r="I10" s="4" t="s">
        <v>37</v>
      </c>
      <c r="J10" s="4" t="s">
        <v>67</v>
      </c>
    </row>
    <row r="11" spans="1:10" ht="62.1" customHeight="1" x14ac:dyDescent="0.25">
      <c r="A11" s="5" t="s">
        <v>68</v>
      </c>
      <c r="B11" s="5" t="s">
        <v>30</v>
      </c>
      <c r="C11" s="5" t="s">
        <v>69</v>
      </c>
      <c r="D11" s="5" t="s">
        <v>70</v>
      </c>
      <c r="E11" s="5" t="s">
        <v>42</v>
      </c>
      <c r="F11" s="5" t="s">
        <v>69</v>
      </c>
      <c r="G11" s="5" t="s">
        <v>71</v>
      </c>
      <c r="H11" s="5" t="s">
        <v>60</v>
      </c>
      <c r="I11" s="5" t="s">
        <v>72</v>
      </c>
      <c r="J11" s="5" t="s">
        <v>73</v>
      </c>
    </row>
    <row r="13" spans="1:10" ht="23.1" customHeight="1" x14ac:dyDescent="0.25">
      <c r="A13" s="129" t="s">
        <v>74</v>
      </c>
      <c r="B13" s="129"/>
      <c r="C13" s="129"/>
      <c r="D13" s="129"/>
      <c r="E13" s="129"/>
      <c r="F13" s="129"/>
      <c r="G13" s="129"/>
    </row>
    <row r="14" spans="1:10" ht="32.1" customHeight="1" x14ac:dyDescent="0.25">
      <c r="A14" s="2" t="s">
        <v>75</v>
      </c>
      <c r="B14" s="2" t="s">
        <v>76</v>
      </c>
      <c r="C14" s="2" t="s">
        <v>77</v>
      </c>
      <c r="D14" s="2" t="s">
        <v>78</v>
      </c>
      <c r="E14" s="2" t="s">
        <v>79</v>
      </c>
      <c r="F14" s="2" t="s">
        <v>27</v>
      </c>
      <c r="G14" s="2" t="s">
        <v>80</v>
      </c>
    </row>
    <row r="15" spans="1:10" ht="48" customHeight="1" x14ac:dyDescent="0.25">
      <c r="A15" s="3" t="s">
        <v>81</v>
      </c>
      <c r="B15" s="3" t="s">
        <v>82</v>
      </c>
      <c r="C15" s="3" t="s">
        <v>83</v>
      </c>
      <c r="D15" s="3" t="s">
        <v>827</v>
      </c>
      <c r="E15" s="3" t="s">
        <v>84</v>
      </c>
      <c r="F15" s="3" t="s">
        <v>85</v>
      </c>
      <c r="G15" s="3" t="s">
        <v>86</v>
      </c>
    </row>
    <row r="16" spans="1:10" ht="48" customHeight="1" x14ac:dyDescent="0.25">
      <c r="A16" s="4" t="s">
        <v>87</v>
      </c>
      <c r="B16" s="4" t="s">
        <v>88</v>
      </c>
      <c r="C16" s="4" t="s">
        <v>89</v>
      </c>
      <c r="D16" s="4" t="s">
        <v>42</v>
      </c>
      <c r="E16" s="4" t="s">
        <v>90</v>
      </c>
      <c r="F16" s="4" t="s">
        <v>85</v>
      </c>
      <c r="G16" s="4" t="s">
        <v>91</v>
      </c>
    </row>
    <row r="17" spans="1:10" ht="48" customHeight="1" x14ac:dyDescent="0.25">
      <c r="A17" s="4" t="s">
        <v>92</v>
      </c>
      <c r="B17" s="4" t="s">
        <v>88</v>
      </c>
      <c r="C17" s="4" t="s">
        <v>93</v>
      </c>
      <c r="D17" s="4" t="s">
        <v>42</v>
      </c>
      <c r="E17" s="4" t="s">
        <v>90</v>
      </c>
      <c r="F17" s="4" t="s">
        <v>85</v>
      </c>
      <c r="G17" s="4" t="s">
        <v>94</v>
      </c>
    </row>
    <row r="18" spans="1:10" ht="48" customHeight="1" x14ac:dyDescent="0.25">
      <c r="A18" s="5" t="s">
        <v>95</v>
      </c>
      <c r="B18" s="5" t="s">
        <v>96</v>
      </c>
      <c r="C18" s="5" t="s">
        <v>35</v>
      </c>
      <c r="D18" s="5" t="s">
        <v>42</v>
      </c>
      <c r="E18" s="5" t="s">
        <v>97</v>
      </c>
      <c r="F18" s="5" t="s">
        <v>37</v>
      </c>
      <c r="G18" s="5" t="s">
        <v>98</v>
      </c>
    </row>
    <row r="20" spans="1:10" ht="23.1" customHeight="1" x14ac:dyDescent="0.25">
      <c r="A20" s="129" t="s">
        <v>99</v>
      </c>
      <c r="B20" s="129"/>
      <c r="C20" s="129"/>
      <c r="D20" s="129"/>
      <c r="E20" s="129"/>
      <c r="F20" s="129"/>
      <c r="G20" s="129"/>
      <c r="H20" s="129"/>
      <c r="I20" s="129"/>
      <c r="J20" s="129"/>
    </row>
    <row r="21" spans="1:10" ht="23.1" customHeight="1" x14ac:dyDescent="0.25">
      <c r="A21" s="130" t="s">
        <v>100</v>
      </c>
      <c r="B21" s="130"/>
      <c r="C21" s="130"/>
      <c r="D21" s="130"/>
      <c r="E21" s="130"/>
      <c r="F21" s="130"/>
      <c r="G21" s="130"/>
      <c r="H21" s="130"/>
      <c r="I21" s="130"/>
      <c r="J21" s="130"/>
    </row>
    <row r="22" spans="1:10" ht="23.1" customHeight="1" x14ac:dyDescent="0.25">
      <c r="A22" s="130" t="s">
        <v>101</v>
      </c>
      <c r="B22" s="130"/>
      <c r="C22" s="130"/>
      <c r="D22" s="130"/>
      <c r="E22" s="130"/>
      <c r="F22" s="130"/>
      <c r="G22" s="130"/>
      <c r="H22" s="130"/>
      <c r="I22" s="130"/>
      <c r="J22" s="130"/>
    </row>
    <row r="23" spans="1:10" ht="23.1" customHeight="1" x14ac:dyDescent="0.25">
      <c r="A23" s="130" t="s">
        <v>102</v>
      </c>
      <c r="B23" s="130"/>
      <c r="C23" s="130"/>
      <c r="D23" s="130"/>
      <c r="E23" s="130"/>
      <c r="F23" s="130"/>
      <c r="G23" s="130"/>
      <c r="H23" s="130"/>
      <c r="I23" s="130"/>
      <c r="J23" s="130"/>
    </row>
    <row r="24" spans="1:10" ht="23.1" customHeight="1" x14ac:dyDescent="0.25">
      <c r="A24" s="130" t="s">
        <v>103</v>
      </c>
      <c r="B24" s="130"/>
      <c r="C24" s="130"/>
      <c r="D24" s="130"/>
      <c r="E24" s="130"/>
      <c r="F24" s="130"/>
      <c r="G24" s="130"/>
      <c r="H24" s="130"/>
      <c r="I24" s="130"/>
      <c r="J24" s="130"/>
    </row>
  </sheetData>
  <mergeCells count="10">
    <mergeCell ref="A1:J1"/>
    <mergeCell ref="A2:J2"/>
    <mergeCell ref="A3:J3"/>
    <mergeCell ref="A4:J4"/>
    <mergeCell ref="A13:G13"/>
    <mergeCell ref="A20:J20"/>
    <mergeCell ref="A21:J21"/>
    <mergeCell ref="A22:J22"/>
    <mergeCell ref="A23:J23"/>
    <mergeCell ref="A24:J24"/>
  </mergeCells>
  <conditionalFormatting sqref="F15:F18">
    <cfRule type="containsText" dxfId="8" priority="5" operator="containsText" text="Agreed"/>
    <cfRule type="containsText" dxfId="7" priority="6" operator="containsText" text="Research"/>
    <cfRule type="containsText" dxfId="6" priority="7" operator="containsText" text="TBD"/>
    <cfRule type="containsText" dxfId="5" priority="8" operator="containsText" text="Special"/>
  </conditionalFormatting>
  <conditionalFormatting sqref="I6:I11">
    <cfRule type="containsText" dxfId="4" priority="1" operator="containsText" text="Agreed"/>
    <cfRule type="containsText" dxfId="3" priority="2" operator="containsText" text="Research"/>
    <cfRule type="containsText" dxfId="2" priority="3" operator="containsText" text="TBD"/>
    <cfRule type="containsText" dxfId="1" priority="4" operator="containsText" text="Special"/>
  </conditionalFormatting>
  <dataValidations count="2">
    <dataValidation type="list" sqref="I6:I11" xr:uid="{00000000-0002-0000-0100-000000000000}">
      <formula1>"Agreed concept,Research mapping,Special case,TBD,Implemented"</formula1>
    </dataValidation>
    <dataValidation type="list" sqref="F15:F18" xr:uid="{00000000-0002-0000-0100-000001000000}">
      <formula1>"Agreed,Agreed concept,TBD,Implemented"</formula1>
    </dataValidation>
  </dataValidation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3"/>
  <sheetViews>
    <sheetView topLeftCell="A56" workbookViewId="0">
      <selection activeCell="D82" sqref="D82"/>
    </sheetView>
  </sheetViews>
  <sheetFormatPr defaultRowHeight="15" x14ac:dyDescent="0.25"/>
  <cols>
    <col min="1" max="3" width="15" customWidth="1"/>
    <col min="4" max="4" width="8" customWidth="1"/>
    <col min="5" max="6" width="19" customWidth="1"/>
  </cols>
  <sheetData>
    <row r="1" spans="1:6" ht="30" customHeight="1" x14ac:dyDescent="0.25">
      <c r="A1" s="98" t="s">
        <v>250</v>
      </c>
      <c r="B1" s="98"/>
      <c r="C1" s="98"/>
      <c r="D1" s="98"/>
      <c r="E1" s="98"/>
      <c r="F1" s="98"/>
    </row>
    <row r="2" spans="1:6" ht="26.1" customHeight="1" thickBot="1" x14ac:dyDescent="0.3">
      <c r="A2" s="147" t="s">
        <v>144</v>
      </c>
      <c r="B2" s="147"/>
      <c r="C2" s="147"/>
      <c r="D2" s="147"/>
      <c r="E2" s="147"/>
      <c r="F2" s="147"/>
    </row>
    <row r="3" spans="1:6" ht="24" customHeight="1" thickTop="1" thickBot="1" x14ac:dyDescent="0.3">
      <c r="A3" s="100" t="s">
        <v>145</v>
      </c>
      <c r="B3" s="100"/>
      <c r="C3" s="100"/>
      <c r="D3" s="100"/>
      <c r="E3" s="100"/>
      <c r="F3" s="100"/>
    </row>
    <row r="4" spans="1:6" ht="8.1" customHeight="1" thickTop="1" x14ac:dyDescent="0.25">
      <c r="A4" s="6"/>
      <c r="B4" s="6"/>
      <c r="C4" s="6"/>
      <c r="D4" s="6"/>
      <c r="E4" s="6"/>
      <c r="F4" s="6"/>
    </row>
    <row r="5" spans="1:6" ht="21" customHeight="1" thickBot="1" x14ac:dyDescent="0.3">
      <c r="A5" s="143" t="s">
        <v>7</v>
      </c>
      <c r="B5" s="143"/>
      <c r="C5" s="143"/>
      <c r="D5" s="143"/>
      <c r="E5" s="143"/>
      <c r="F5" s="143"/>
    </row>
    <row r="6" spans="1:6" ht="21" customHeight="1" x14ac:dyDescent="0.25">
      <c r="A6" s="142" t="s">
        <v>104</v>
      </c>
      <c r="B6" s="142"/>
      <c r="C6" s="142"/>
      <c r="D6" s="140" t="s">
        <v>105</v>
      </c>
      <c r="E6" s="142" t="s">
        <v>106</v>
      </c>
      <c r="F6" s="142"/>
    </row>
    <row r="7" spans="1:6" ht="21" customHeight="1" x14ac:dyDescent="0.25">
      <c r="A7" s="139" t="s">
        <v>107</v>
      </c>
      <c r="B7" s="139"/>
      <c r="C7" s="139"/>
      <c r="D7" s="141"/>
      <c r="E7" s="139"/>
      <c r="F7" s="139"/>
    </row>
    <row r="8" spans="1:6" ht="21" customHeight="1" thickBot="1" x14ac:dyDescent="0.3">
      <c r="A8" s="143" t="s">
        <v>12</v>
      </c>
      <c r="B8" s="143"/>
      <c r="C8" s="143"/>
      <c r="D8" s="143"/>
      <c r="E8" s="143"/>
      <c r="F8" s="143"/>
    </row>
    <row r="9" spans="1:6" ht="21" customHeight="1" x14ac:dyDescent="0.25">
      <c r="A9" s="142" t="s">
        <v>108</v>
      </c>
      <c r="B9" s="142"/>
      <c r="C9" s="142"/>
      <c r="D9" s="140" t="s">
        <v>105</v>
      </c>
      <c r="E9" s="142" t="s">
        <v>109</v>
      </c>
      <c r="F9" s="142"/>
    </row>
    <row r="10" spans="1:6" ht="21" customHeight="1" x14ac:dyDescent="0.25">
      <c r="A10" s="139" t="s">
        <v>110</v>
      </c>
      <c r="B10" s="139"/>
      <c r="C10" s="139"/>
      <c r="D10" s="141"/>
      <c r="E10" s="139"/>
      <c r="F10" s="139"/>
    </row>
    <row r="11" spans="1:6" ht="21" customHeight="1" thickBot="1" x14ac:dyDescent="0.3">
      <c r="A11" s="143" t="s">
        <v>111</v>
      </c>
      <c r="B11" s="143"/>
      <c r="C11" s="143"/>
      <c r="D11" s="143"/>
      <c r="E11" s="143"/>
      <c r="F11" s="143"/>
    </row>
    <row r="12" spans="1:6" ht="21" customHeight="1" x14ac:dyDescent="0.25">
      <c r="A12" s="142" t="s">
        <v>112</v>
      </c>
      <c r="B12" s="142"/>
      <c r="C12" s="142"/>
      <c r="D12" s="140" t="s">
        <v>105</v>
      </c>
      <c r="E12" s="142" t="s">
        <v>113</v>
      </c>
      <c r="F12" s="142"/>
    </row>
    <row r="13" spans="1:6" ht="21" customHeight="1" x14ac:dyDescent="0.25">
      <c r="A13" s="148" t="s">
        <v>114</v>
      </c>
      <c r="B13" s="148"/>
      <c r="C13" s="148"/>
      <c r="D13" s="141"/>
      <c r="E13" s="139"/>
      <c r="F13" s="139"/>
    </row>
    <row r="14" spans="1:6" ht="21" customHeight="1" thickBot="1" x14ac:dyDescent="0.3">
      <c r="A14" s="143" t="s">
        <v>16</v>
      </c>
      <c r="B14" s="143"/>
      <c r="C14" s="143"/>
      <c r="D14" s="143"/>
      <c r="E14" s="143"/>
      <c r="F14" s="143"/>
    </row>
    <row r="15" spans="1:6" ht="21" customHeight="1" x14ac:dyDescent="0.25">
      <c r="A15" s="142" t="s">
        <v>108</v>
      </c>
      <c r="B15" s="142"/>
      <c r="C15" s="142"/>
      <c r="D15" s="140" t="s">
        <v>105</v>
      </c>
      <c r="E15" s="142" t="s">
        <v>115</v>
      </c>
      <c r="F15" s="142"/>
    </row>
    <row r="16" spans="1:6" ht="21" customHeight="1" x14ac:dyDescent="0.25">
      <c r="A16" s="139" t="s">
        <v>116</v>
      </c>
      <c r="B16" s="139"/>
      <c r="C16" s="139"/>
      <c r="D16" s="141"/>
      <c r="E16" s="139"/>
      <c r="F16" s="139"/>
    </row>
    <row r="17" spans="1:6" ht="21" customHeight="1" thickBot="1" x14ac:dyDescent="0.3">
      <c r="A17" s="143" t="s">
        <v>11</v>
      </c>
      <c r="B17" s="143"/>
      <c r="C17" s="143"/>
      <c r="D17" s="143"/>
      <c r="E17" s="143"/>
      <c r="F17" s="143"/>
    </row>
    <row r="18" spans="1:6" ht="21" customHeight="1" x14ac:dyDescent="0.25">
      <c r="A18" s="142" t="s">
        <v>117</v>
      </c>
      <c r="B18" s="142"/>
      <c r="C18" s="142"/>
      <c r="D18" s="140" t="s">
        <v>105</v>
      </c>
      <c r="E18" s="142" t="s">
        <v>118</v>
      </c>
      <c r="F18" s="142"/>
    </row>
    <row r="19" spans="1:6" ht="21" customHeight="1" x14ac:dyDescent="0.25">
      <c r="A19" s="139" t="s">
        <v>109</v>
      </c>
      <c r="B19" s="139"/>
      <c r="C19" s="139"/>
      <c r="D19" s="141"/>
      <c r="E19" s="139"/>
      <c r="F19" s="139"/>
    </row>
    <row r="20" spans="1:6" ht="21" customHeight="1" thickBot="1" x14ac:dyDescent="0.3">
      <c r="A20" s="143" t="s">
        <v>4</v>
      </c>
      <c r="B20" s="143"/>
      <c r="C20" s="143"/>
      <c r="D20" s="143"/>
      <c r="E20" s="143"/>
      <c r="F20" s="143"/>
    </row>
    <row r="21" spans="1:6" ht="21" customHeight="1" x14ac:dyDescent="0.25">
      <c r="A21" s="142" t="s">
        <v>119</v>
      </c>
      <c r="B21" s="142"/>
      <c r="C21" s="142"/>
      <c r="D21" s="140" t="s">
        <v>105</v>
      </c>
      <c r="E21" s="142" t="s">
        <v>120</v>
      </c>
      <c r="F21" s="142"/>
    </row>
    <row r="22" spans="1:6" ht="21" customHeight="1" x14ac:dyDescent="0.25">
      <c r="A22" s="139" t="s">
        <v>121</v>
      </c>
      <c r="B22" s="139"/>
      <c r="C22" s="139"/>
      <c r="D22" s="141"/>
      <c r="E22" s="139"/>
      <c r="F22" s="139"/>
    </row>
    <row r="23" spans="1:6" ht="21" customHeight="1" thickBot="1" x14ac:dyDescent="0.3">
      <c r="A23" s="143" t="s">
        <v>14</v>
      </c>
      <c r="B23" s="143"/>
      <c r="C23" s="143"/>
      <c r="D23" s="143"/>
      <c r="E23" s="143"/>
      <c r="F23" s="143"/>
    </row>
    <row r="24" spans="1:6" ht="21" customHeight="1" x14ac:dyDescent="0.25">
      <c r="A24" s="142" t="s">
        <v>118</v>
      </c>
      <c r="B24" s="142"/>
      <c r="C24" s="142"/>
      <c r="D24" s="140" t="s">
        <v>105</v>
      </c>
      <c r="E24" s="142" t="s">
        <v>122</v>
      </c>
      <c r="F24" s="142"/>
    </row>
    <row r="25" spans="1:6" ht="21" customHeight="1" x14ac:dyDescent="0.25">
      <c r="A25" s="139" t="s">
        <v>123</v>
      </c>
      <c r="B25" s="139"/>
      <c r="C25" s="139"/>
      <c r="D25" s="141"/>
      <c r="E25" s="139"/>
      <c r="F25" s="139"/>
    </row>
    <row r="26" spans="1:6" ht="21" customHeight="1" thickBot="1" x14ac:dyDescent="0.3">
      <c r="A26" s="143" t="s">
        <v>2</v>
      </c>
      <c r="B26" s="143"/>
      <c r="C26" s="143"/>
      <c r="D26" s="143"/>
      <c r="E26" s="143"/>
      <c r="F26" s="143"/>
    </row>
    <row r="27" spans="1:6" ht="21" customHeight="1" x14ac:dyDescent="0.25">
      <c r="A27" s="142" t="s">
        <v>120</v>
      </c>
      <c r="B27" s="142"/>
      <c r="C27" s="142"/>
      <c r="D27" s="140" t="s">
        <v>105</v>
      </c>
      <c r="E27" s="142" t="s">
        <v>124</v>
      </c>
      <c r="F27" s="142"/>
    </row>
    <row r="28" spans="1:6" ht="21" customHeight="1" x14ac:dyDescent="0.25">
      <c r="A28" s="139" t="s">
        <v>123</v>
      </c>
      <c r="B28" s="139"/>
      <c r="C28" s="139"/>
      <c r="D28" s="141"/>
      <c r="E28" s="139"/>
      <c r="F28" s="139"/>
    </row>
    <row r="29" spans="1:6" ht="21" customHeight="1" thickBot="1" x14ac:dyDescent="0.3">
      <c r="A29" s="143" t="s">
        <v>13</v>
      </c>
      <c r="B29" s="143"/>
      <c r="C29" s="143"/>
      <c r="D29" s="143"/>
      <c r="E29" s="143"/>
      <c r="F29" s="143"/>
    </row>
    <row r="30" spans="1:6" ht="21" customHeight="1" x14ac:dyDescent="0.25">
      <c r="A30" s="142" t="s">
        <v>118</v>
      </c>
      <c r="B30" s="142"/>
      <c r="C30" s="142"/>
      <c r="D30" s="140" t="s">
        <v>105</v>
      </c>
      <c r="E30" s="142" t="s">
        <v>125</v>
      </c>
      <c r="F30" s="142"/>
    </row>
    <row r="31" spans="1:6" ht="21" customHeight="1" x14ac:dyDescent="0.25">
      <c r="A31" s="139" t="s">
        <v>126</v>
      </c>
      <c r="B31" s="139"/>
      <c r="C31" s="139"/>
      <c r="D31" s="141"/>
      <c r="E31" s="139"/>
      <c r="F31" s="139"/>
    </row>
    <row r="32" spans="1:6" ht="21" customHeight="1" thickBot="1" x14ac:dyDescent="0.3">
      <c r="A32" s="143" t="s">
        <v>5</v>
      </c>
      <c r="B32" s="143"/>
      <c r="C32" s="143"/>
      <c r="D32" s="143"/>
      <c r="E32" s="143"/>
      <c r="F32" s="143"/>
    </row>
    <row r="33" spans="1:6" ht="21" customHeight="1" x14ac:dyDescent="0.25">
      <c r="A33" s="142" t="s">
        <v>120</v>
      </c>
      <c r="B33" s="142"/>
      <c r="C33" s="142"/>
      <c r="D33" s="140" t="s">
        <v>105</v>
      </c>
      <c r="E33" s="142" t="s">
        <v>127</v>
      </c>
      <c r="F33" s="142"/>
    </row>
    <row r="34" spans="1:6" ht="21" customHeight="1" x14ac:dyDescent="0.25">
      <c r="A34" s="139" t="s">
        <v>126</v>
      </c>
      <c r="B34" s="139"/>
      <c r="C34" s="139"/>
      <c r="D34" s="141"/>
      <c r="E34" s="139"/>
      <c r="F34" s="139"/>
    </row>
    <row r="35" spans="1:6" ht="21" customHeight="1" thickBot="1" x14ac:dyDescent="0.3">
      <c r="A35" s="143" t="s">
        <v>10</v>
      </c>
      <c r="B35" s="143"/>
      <c r="C35" s="143"/>
      <c r="D35" s="143"/>
      <c r="E35" s="143"/>
      <c r="F35" s="143"/>
    </row>
    <row r="36" spans="1:6" ht="21" customHeight="1" x14ac:dyDescent="0.25">
      <c r="A36" s="142" t="s">
        <v>118</v>
      </c>
      <c r="B36" s="142"/>
      <c r="C36" s="142"/>
      <c r="D36" s="140" t="s">
        <v>105</v>
      </c>
      <c r="E36" s="142" t="s">
        <v>128</v>
      </c>
      <c r="F36" s="142"/>
    </row>
    <row r="37" spans="1:6" ht="21" customHeight="1" x14ac:dyDescent="0.25">
      <c r="A37" s="139" t="s">
        <v>129</v>
      </c>
      <c r="B37" s="139"/>
      <c r="C37" s="139"/>
      <c r="D37" s="141"/>
      <c r="E37" s="139"/>
      <c r="F37" s="139"/>
    </row>
    <row r="38" spans="1:6" ht="21" customHeight="1" thickBot="1" x14ac:dyDescent="0.3">
      <c r="A38" s="143" t="s">
        <v>8</v>
      </c>
      <c r="B38" s="143"/>
      <c r="C38" s="143"/>
      <c r="D38" s="143"/>
      <c r="E38" s="143"/>
      <c r="F38" s="143"/>
    </row>
    <row r="39" spans="1:6" ht="21" customHeight="1" x14ac:dyDescent="0.25">
      <c r="A39" s="142" t="s">
        <v>120</v>
      </c>
      <c r="B39" s="142"/>
      <c r="C39" s="142"/>
      <c r="D39" s="140" t="s">
        <v>105</v>
      </c>
      <c r="E39" s="142" t="s">
        <v>130</v>
      </c>
      <c r="F39" s="142"/>
    </row>
    <row r="40" spans="1:6" ht="21" customHeight="1" x14ac:dyDescent="0.25">
      <c r="A40" s="139" t="s">
        <v>129</v>
      </c>
      <c r="B40" s="139"/>
      <c r="C40" s="139"/>
      <c r="D40" s="141"/>
      <c r="E40" s="139"/>
      <c r="F40" s="139"/>
    </row>
    <row r="41" spans="1:6" ht="21" customHeight="1" thickBot="1" x14ac:dyDescent="0.3">
      <c r="A41" s="143" t="s">
        <v>15</v>
      </c>
      <c r="B41" s="143"/>
      <c r="C41" s="143"/>
      <c r="D41" s="143"/>
      <c r="E41" s="143"/>
      <c r="F41" s="143"/>
    </row>
    <row r="42" spans="1:6" ht="21" customHeight="1" x14ac:dyDescent="0.25">
      <c r="A42" s="142" t="s">
        <v>131</v>
      </c>
      <c r="B42" s="142"/>
      <c r="C42" s="142"/>
      <c r="D42" s="140" t="s">
        <v>105</v>
      </c>
      <c r="E42" s="142" t="s">
        <v>132</v>
      </c>
      <c r="F42" s="142"/>
    </row>
    <row r="43" spans="1:6" ht="21" customHeight="1" x14ac:dyDescent="0.25">
      <c r="A43" s="139" t="s">
        <v>133</v>
      </c>
      <c r="B43" s="139"/>
      <c r="C43" s="139"/>
      <c r="D43" s="141"/>
      <c r="E43" s="139"/>
      <c r="F43" s="139"/>
    </row>
    <row r="44" spans="1:6" ht="21" customHeight="1" thickBot="1" x14ac:dyDescent="0.3">
      <c r="A44" s="143" t="s">
        <v>134</v>
      </c>
      <c r="B44" s="143"/>
      <c r="C44" s="143"/>
      <c r="D44" s="143"/>
      <c r="E44" s="143"/>
      <c r="F44" s="143"/>
    </row>
    <row r="45" spans="1:6" ht="21" customHeight="1" x14ac:dyDescent="0.25">
      <c r="A45" s="142" t="s">
        <v>135</v>
      </c>
      <c r="B45" s="142"/>
      <c r="C45" s="142"/>
      <c r="D45" s="140" t="s">
        <v>105</v>
      </c>
      <c r="E45" s="142" t="s">
        <v>136</v>
      </c>
      <c r="F45" s="142"/>
    </row>
    <row r="46" spans="1:6" ht="21" customHeight="1" x14ac:dyDescent="0.25">
      <c r="A46" s="142" t="s">
        <v>110</v>
      </c>
      <c r="B46" s="142"/>
      <c r="C46" s="142"/>
      <c r="D46" s="140"/>
      <c r="E46" s="142"/>
      <c r="F46" s="142"/>
    </row>
    <row r="47" spans="1:6" ht="21" customHeight="1" x14ac:dyDescent="0.25">
      <c r="A47" s="139" t="s">
        <v>137</v>
      </c>
      <c r="B47" s="139"/>
      <c r="C47" s="139"/>
      <c r="D47" s="141"/>
      <c r="E47" s="139"/>
      <c r="F47" s="139"/>
    </row>
    <row r="48" spans="1:6" ht="21" customHeight="1" thickBot="1" x14ac:dyDescent="0.3">
      <c r="A48" s="143" t="s">
        <v>138</v>
      </c>
      <c r="B48" s="143"/>
      <c r="C48" s="143"/>
      <c r="D48" s="143"/>
      <c r="E48" s="143"/>
      <c r="F48" s="143"/>
    </row>
    <row r="49" spans="1:6" ht="21" customHeight="1" x14ac:dyDescent="0.25">
      <c r="A49" s="142" t="s">
        <v>135</v>
      </c>
      <c r="B49" s="142"/>
      <c r="C49" s="142"/>
      <c r="D49" s="140" t="s">
        <v>105</v>
      </c>
      <c r="E49" s="142" t="s">
        <v>139</v>
      </c>
      <c r="F49" s="142"/>
    </row>
    <row r="50" spans="1:6" ht="21" customHeight="1" x14ac:dyDescent="0.25">
      <c r="A50" s="142" t="s">
        <v>110</v>
      </c>
      <c r="B50" s="142"/>
      <c r="C50" s="142"/>
      <c r="D50" s="140"/>
      <c r="E50" s="142"/>
      <c r="F50" s="142"/>
    </row>
    <row r="51" spans="1:6" ht="21" customHeight="1" x14ac:dyDescent="0.25">
      <c r="A51" s="139" t="s">
        <v>140</v>
      </c>
      <c r="B51" s="139"/>
      <c r="C51" s="139"/>
      <c r="D51" s="141"/>
      <c r="E51" s="139"/>
      <c r="F51" s="139"/>
    </row>
    <row r="52" spans="1:6" ht="21" customHeight="1" thickBot="1" x14ac:dyDescent="0.3">
      <c r="A52" s="143" t="s">
        <v>141</v>
      </c>
      <c r="B52" s="143"/>
      <c r="C52" s="143"/>
      <c r="D52" s="143"/>
      <c r="E52" s="143"/>
      <c r="F52" s="143"/>
    </row>
    <row r="53" spans="1:6" ht="21" customHeight="1" x14ac:dyDescent="0.25">
      <c r="A53" s="142" t="s">
        <v>135</v>
      </c>
      <c r="B53" s="142"/>
      <c r="C53" s="142"/>
      <c r="D53" s="140" t="s">
        <v>105</v>
      </c>
      <c r="E53" s="142" t="s">
        <v>142</v>
      </c>
      <c r="F53" s="142"/>
    </row>
    <row r="54" spans="1:6" ht="21" customHeight="1" x14ac:dyDescent="0.25">
      <c r="A54" s="142" t="s">
        <v>110</v>
      </c>
      <c r="B54" s="142"/>
      <c r="C54" s="142"/>
      <c r="D54" s="140"/>
      <c r="E54" s="142"/>
      <c r="F54" s="142"/>
    </row>
    <row r="55" spans="1:6" ht="21" customHeight="1" x14ac:dyDescent="0.25">
      <c r="A55" s="139" t="s">
        <v>143</v>
      </c>
      <c r="B55" s="139"/>
      <c r="C55" s="139"/>
      <c r="D55" s="141"/>
      <c r="E55" s="139"/>
      <c r="F55" s="139"/>
    </row>
    <row r="56" spans="1:6" ht="15.75" thickBot="1" x14ac:dyDescent="0.3">
      <c r="A56" s="123" t="s">
        <v>176</v>
      </c>
      <c r="B56" s="123"/>
      <c r="C56" s="123"/>
      <c r="D56" s="123"/>
      <c r="E56" s="123"/>
      <c r="F56" s="123"/>
    </row>
    <row r="57" spans="1:6" x14ac:dyDescent="0.25">
      <c r="A57" s="138" t="s">
        <v>177</v>
      </c>
      <c r="B57" s="138"/>
      <c r="C57" s="138"/>
      <c r="D57" s="145" t="s">
        <v>105</v>
      </c>
      <c r="E57" s="138" t="s">
        <v>178</v>
      </c>
      <c r="F57" s="138"/>
    </row>
    <row r="58" spans="1:6" x14ac:dyDescent="0.25">
      <c r="A58" s="144"/>
      <c r="B58" s="144"/>
      <c r="C58" s="144"/>
      <c r="D58" s="146"/>
      <c r="E58" s="144"/>
      <c r="F58" s="144"/>
    </row>
    <row r="59" spans="1:6" ht="15.75" thickBot="1" x14ac:dyDescent="0.3">
      <c r="A59" s="123" t="s">
        <v>180</v>
      </c>
      <c r="B59" s="123"/>
      <c r="C59" s="123"/>
      <c r="D59" s="123"/>
      <c r="E59" s="123"/>
      <c r="F59" s="123"/>
    </row>
    <row r="60" spans="1:6" x14ac:dyDescent="0.25">
      <c r="A60" s="134" t="s">
        <v>179</v>
      </c>
      <c r="B60" s="134"/>
      <c r="C60" s="134"/>
      <c r="D60" s="136" t="s">
        <v>105</v>
      </c>
      <c r="E60" s="134" t="s">
        <v>227</v>
      </c>
      <c r="F60" s="134"/>
    </row>
    <row r="61" spans="1:6" x14ac:dyDescent="0.25">
      <c r="A61" s="135"/>
      <c r="B61" s="135"/>
      <c r="C61" s="135"/>
      <c r="D61" s="137"/>
      <c r="E61" s="135"/>
      <c r="F61" s="135"/>
    </row>
    <row r="62" spans="1:6" ht="15.75" thickBot="1" x14ac:dyDescent="0.3">
      <c r="A62" s="123" t="s">
        <v>251</v>
      </c>
      <c r="B62" s="123"/>
      <c r="C62" s="123"/>
      <c r="D62" s="123"/>
      <c r="E62" s="123"/>
      <c r="F62" s="123"/>
    </row>
    <row r="63" spans="1:6" x14ac:dyDescent="0.25">
      <c r="A63" s="134" t="s">
        <v>279</v>
      </c>
      <c r="B63" s="134"/>
      <c r="C63" s="134"/>
      <c r="D63" s="136" t="s">
        <v>105</v>
      </c>
      <c r="E63" s="138" t="s">
        <v>285</v>
      </c>
      <c r="F63" s="134"/>
    </row>
    <row r="64" spans="1:6" x14ac:dyDescent="0.25">
      <c r="A64" s="135"/>
      <c r="B64" s="135"/>
      <c r="C64" s="135"/>
      <c r="D64" s="137"/>
      <c r="E64" s="135"/>
      <c r="F64" s="135"/>
    </row>
    <row r="65" spans="1:6" ht="15.75" thickBot="1" x14ac:dyDescent="0.3">
      <c r="A65" s="123" t="s">
        <v>944</v>
      </c>
      <c r="B65" s="123"/>
      <c r="C65" s="123"/>
      <c r="D65" s="123"/>
      <c r="E65" s="123"/>
      <c r="F65" s="123"/>
    </row>
    <row r="66" spans="1:6" x14ac:dyDescent="0.25">
      <c r="A66" s="134"/>
      <c r="B66" s="134"/>
      <c r="C66" s="134"/>
      <c r="D66" s="136" t="s">
        <v>105</v>
      </c>
      <c r="E66" s="138"/>
      <c r="F66" s="134"/>
    </row>
    <row r="67" spans="1:6" x14ac:dyDescent="0.25">
      <c r="A67" s="135"/>
      <c r="B67" s="135"/>
      <c r="C67" s="135"/>
      <c r="D67" s="137"/>
      <c r="E67" s="135"/>
      <c r="F67" s="135"/>
    </row>
    <row r="68" spans="1:6" ht="15.75" thickBot="1" x14ac:dyDescent="0.3">
      <c r="A68" s="123" t="s">
        <v>945</v>
      </c>
      <c r="B68" s="123"/>
      <c r="C68" s="123"/>
      <c r="D68" s="123"/>
      <c r="E68" s="123"/>
      <c r="F68" s="123"/>
    </row>
    <row r="69" spans="1:6" x14ac:dyDescent="0.25">
      <c r="A69" s="134"/>
      <c r="B69" s="134"/>
      <c r="C69" s="134"/>
      <c r="D69" s="136" t="s">
        <v>105</v>
      </c>
      <c r="E69" s="138"/>
      <c r="F69" s="134"/>
    </row>
    <row r="70" spans="1:6" x14ac:dyDescent="0.25">
      <c r="A70" s="135"/>
      <c r="B70" s="135"/>
      <c r="C70" s="135"/>
      <c r="D70" s="137"/>
      <c r="E70" s="135"/>
      <c r="F70" s="135"/>
    </row>
    <row r="71" spans="1:6" ht="15.75" thickBot="1" x14ac:dyDescent="0.3">
      <c r="A71" s="123" t="s">
        <v>1264</v>
      </c>
      <c r="B71" s="123"/>
      <c r="C71" s="123"/>
      <c r="D71" s="123"/>
      <c r="E71" s="123"/>
      <c r="F71" s="123"/>
    </row>
    <row r="72" spans="1:6" x14ac:dyDescent="0.25">
      <c r="A72" s="134"/>
      <c r="B72" s="134"/>
      <c r="C72" s="134"/>
      <c r="D72" s="136" t="s">
        <v>105</v>
      </c>
      <c r="E72" s="138"/>
      <c r="F72" s="134"/>
    </row>
    <row r="73" spans="1:6" x14ac:dyDescent="0.25">
      <c r="A73" s="135"/>
      <c r="B73" s="135"/>
      <c r="C73" s="135"/>
      <c r="D73" s="137"/>
      <c r="E73" s="135"/>
      <c r="F73" s="135"/>
    </row>
  </sheetData>
  <mergeCells count="110">
    <mergeCell ref="A71:F71"/>
    <mergeCell ref="A72:C73"/>
    <mergeCell ref="D72:D73"/>
    <mergeCell ref="E72:F73"/>
    <mergeCell ref="A14:F14"/>
    <mergeCell ref="A15:C15"/>
    <mergeCell ref="A65:F65"/>
    <mergeCell ref="A66:C67"/>
    <mergeCell ref="D66:D67"/>
    <mergeCell ref="E66:F67"/>
    <mergeCell ref="A62:F62"/>
    <mergeCell ref="A63:C64"/>
    <mergeCell ref="D63:D64"/>
    <mergeCell ref="E63:F64"/>
    <mergeCell ref="A59:F59"/>
    <mergeCell ref="A60:C61"/>
    <mergeCell ref="D60:D61"/>
    <mergeCell ref="E60:F61"/>
    <mergeCell ref="A16:C16"/>
    <mergeCell ref="D15:D16"/>
    <mergeCell ref="E15:F16"/>
    <mergeCell ref="A17:F17"/>
    <mergeCell ref="A18:C18"/>
    <mergeCell ref="A19:C19"/>
    <mergeCell ref="D18:D19"/>
    <mergeCell ref="E18:F19"/>
    <mergeCell ref="A20:F20"/>
    <mergeCell ref="A21:C21"/>
    <mergeCell ref="A9:C9"/>
    <mergeCell ref="A10:C10"/>
    <mergeCell ref="D9:D10"/>
    <mergeCell ref="E9:F10"/>
    <mergeCell ref="A11:F11"/>
    <mergeCell ref="A12:C12"/>
    <mergeCell ref="A13:C13"/>
    <mergeCell ref="D12:D13"/>
    <mergeCell ref="E12:F13"/>
    <mergeCell ref="A1:F1"/>
    <mergeCell ref="A2:F2"/>
    <mergeCell ref="A3:F3"/>
    <mergeCell ref="A5:F5"/>
    <mergeCell ref="A6:C6"/>
    <mergeCell ref="A7:C7"/>
    <mergeCell ref="D6:D7"/>
    <mergeCell ref="E6:F7"/>
    <mergeCell ref="A8:F8"/>
    <mergeCell ref="A22:C22"/>
    <mergeCell ref="D21:D22"/>
    <mergeCell ref="E21:F22"/>
    <mergeCell ref="A23:F23"/>
    <mergeCell ref="A24:C24"/>
    <mergeCell ref="A25:C25"/>
    <mergeCell ref="D24:D25"/>
    <mergeCell ref="E24:F25"/>
    <mergeCell ref="A26:F26"/>
    <mergeCell ref="A27:C27"/>
    <mergeCell ref="A28:C28"/>
    <mergeCell ref="D27:D28"/>
    <mergeCell ref="E27:F28"/>
    <mergeCell ref="A29:F29"/>
    <mergeCell ref="A30:C30"/>
    <mergeCell ref="A31:C31"/>
    <mergeCell ref="D30:D31"/>
    <mergeCell ref="E30:F31"/>
    <mergeCell ref="A32:F32"/>
    <mergeCell ref="A33:C33"/>
    <mergeCell ref="A34:C34"/>
    <mergeCell ref="D33:D34"/>
    <mergeCell ref="E33:F34"/>
    <mergeCell ref="A35:F35"/>
    <mergeCell ref="A36:C36"/>
    <mergeCell ref="A37:C37"/>
    <mergeCell ref="D36:D37"/>
    <mergeCell ref="E36:F37"/>
    <mergeCell ref="A38:F38"/>
    <mergeCell ref="A39:C39"/>
    <mergeCell ref="A40:C40"/>
    <mergeCell ref="D39:D40"/>
    <mergeCell ref="E39:F40"/>
    <mergeCell ref="A41:F41"/>
    <mergeCell ref="A42:C42"/>
    <mergeCell ref="A43:C43"/>
    <mergeCell ref="D42:D43"/>
    <mergeCell ref="E42:F43"/>
    <mergeCell ref="A44:F44"/>
    <mergeCell ref="A45:C45"/>
    <mergeCell ref="A46:C46"/>
    <mergeCell ref="A47:C47"/>
    <mergeCell ref="D45:D47"/>
    <mergeCell ref="E45:F47"/>
    <mergeCell ref="A48:F48"/>
    <mergeCell ref="A49:C49"/>
    <mergeCell ref="A50:C50"/>
    <mergeCell ref="A68:F68"/>
    <mergeCell ref="A69:C70"/>
    <mergeCell ref="D69:D70"/>
    <mergeCell ref="E69:F70"/>
    <mergeCell ref="A51:C51"/>
    <mergeCell ref="D49:D51"/>
    <mergeCell ref="E49:F51"/>
    <mergeCell ref="A52:F52"/>
    <mergeCell ref="A53:C53"/>
    <mergeCell ref="A54:C54"/>
    <mergeCell ref="A55:C55"/>
    <mergeCell ref="D53:D55"/>
    <mergeCell ref="E53:F55"/>
    <mergeCell ref="A56:F56"/>
    <mergeCell ref="A57:C58"/>
    <mergeCell ref="D57:D58"/>
    <mergeCell ref="E57:F5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B7097-B800-4C5A-8941-CD5E2EBDB281}">
  <dimension ref="A1:T183"/>
  <sheetViews>
    <sheetView topLeftCell="A44" zoomScaleNormal="100" workbookViewId="0">
      <selection activeCell="I75" sqref="I75"/>
    </sheetView>
  </sheetViews>
  <sheetFormatPr defaultRowHeight="15" x14ac:dyDescent="0.25"/>
  <cols>
    <col min="1" max="1" width="17" customWidth="1"/>
    <col min="2" max="2" width="15.140625" customWidth="1"/>
    <col min="3" max="3" width="25.7109375" customWidth="1"/>
    <col min="4" max="4" width="9.140625" customWidth="1"/>
    <col min="5" max="5" width="12.85546875" style="22" customWidth="1"/>
    <col min="6" max="6" width="10.7109375" style="13" customWidth="1"/>
    <col min="7" max="8" width="11.42578125" style="13" customWidth="1"/>
    <col min="9" max="9" width="14" style="13" customWidth="1"/>
    <col min="10" max="11" width="10" style="13" customWidth="1"/>
    <col min="12" max="12" width="17.42578125" style="13" customWidth="1"/>
    <col min="13" max="13" width="17.85546875" style="13" customWidth="1"/>
    <col min="14" max="14" width="15.42578125" style="13" customWidth="1"/>
    <col min="15" max="15" width="14.28515625" style="13" customWidth="1"/>
    <col min="16" max="16" width="10.7109375" style="13" customWidth="1"/>
    <col min="17" max="17" width="24.28515625" customWidth="1"/>
    <col min="18" max="18" width="21.42578125" customWidth="1"/>
    <col min="19" max="19" width="9.28515625" style="13" customWidth="1"/>
    <col min="20" max="20" width="71.5703125" customWidth="1"/>
  </cols>
  <sheetData>
    <row r="1" spans="1:20" ht="24" x14ac:dyDescent="0.25">
      <c r="A1" s="98" t="s">
        <v>152</v>
      </c>
      <c r="B1" s="98"/>
      <c r="C1" s="98"/>
      <c r="D1" s="98"/>
      <c r="E1" s="98"/>
      <c r="F1" s="98"/>
      <c r="G1" s="98"/>
      <c r="H1" s="98"/>
      <c r="I1" s="98"/>
      <c r="J1" s="98"/>
      <c r="K1" s="98"/>
      <c r="L1" s="98"/>
      <c r="M1" s="98"/>
      <c r="N1" s="98"/>
      <c r="O1" s="98"/>
      <c r="P1" s="98"/>
      <c r="Q1" s="98"/>
      <c r="R1" s="98"/>
      <c r="S1" s="98"/>
      <c r="T1" s="98"/>
    </row>
    <row r="2" spans="1:20" ht="20.25" thickBot="1" x14ac:dyDescent="0.3">
      <c r="A2" s="147" t="s">
        <v>144</v>
      </c>
      <c r="B2" s="147"/>
      <c r="C2" s="147"/>
      <c r="D2" s="147"/>
      <c r="E2" s="147"/>
      <c r="F2" s="147"/>
      <c r="G2" s="147"/>
      <c r="H2" s="147"/>
      <c r="I2" s="147"/>
      <c r="J2" s="147"/>
      <c r="K2" s="147"/>
      <c r="L2" s="147"/>
      <c r="M2" s="147"/>
      <c r="N2" s="147"/>
      <c r="O2" s="147"/>
      <c r="P2" s="147"/>
      <c r="Q2" s="147"/>
      <c r="R2" s="147"/>
      <c r="S2" s="147"/>
      <c r="T2" s="147"/>
    </row>
    <row r="3" spans="1:20" ht="18.75" thickTop="1" thickBot="1" x14ac:dyDescent="0.3">
      <c r="A3" s="100" t="s">
        <v>145</v>
      </c>
      <c r="B3" s="100"/>
      <c r="C3" s="100"/>
      <c r="D3" s="100"/>
      <c r="E3" s="100"/>
      <c r="F3" s="100"/>
      <c r="G3" s="100"/>
      <c r="H3" s="100"/>
      <c r="I3" s="100"/>
      <c r="J3" s="100"/>
      <c r="K3" s="100"/>
      <c r="L3" s="100"/>
      <c r="M3" s="100"/>
      <c r="N3" s="100"/>
      <c r="O3" s="100"/>
      <c r="P3" s="100"/>
      <c r="Q3" s="100"/>
      <c r="R3" s="100"/>
      <c r="S3" s="100"/>
      <c r="T3" s="100"/>
    </row>
    <row r="4" spans="1:20" ht="18.75" thickTop="1" thickBot="1" x14ac:dyDescent="0.3">
      <c r="A4" s="150" t="s">
        <v>327</v>
      </c>
      <c r="B4" s="150"/>
      <c r="C4" s="150"/>
      <c r="D4" s="150"/>
      <c r="E4" s="150"/>
      <c r="F4" s="150"/>
      <c r="G4" s="150"/>
      <c r="H4" s="150"/>
      <c r="I4" s="150"/>
      <c r="J4" s="150"/>
      <c r="K4" s="150"/>
      <c r="L4" s="150"/>
      <c r="M4" s="151" t="s">
        <v>328</v>
      </c>
      <c r="N4" s="150"/>
      <c r="O4" s="150"/>
      <c r="P4" s="150"/>
      <c r="Q4" s="150"/>
      <c r="R4" s="150"/>
      <c r="S4" s="150"/>
      <c r="T4" s="150"/>
    </row>
    <row r="5" spans="1:20" ht="15.75" thickTop="1" x14ac:dyDescent="0.25">
      <c r="A5" s="8" t="s">
        <v>369</v>
      </c>
      <c r="B5" s="8" t="s">
        <v>329</v>
      </c>
      <c r="C5" s="8" t="s">
        <v>317</v>
      </c>
      <c r="D5" s="8" t="s">
        <v>167</v>
      </c>
      <c r="E5" s="21" t="s">
        <v>318</v>
      </c>
      <c r="F5" s="12" t="s">
        <v>319</v>
      </c>
      <c r="G5" s="12" t="s">
        <v>320</v>
      </c>
      <c r="H5" s="12" t="s">
        <v>1689</v>
      </c>
      <c r="I5" s="12" t="s">
        <v>321</v>
      </c>
      <c r="J5" s="12" t="s">
        <v>322</v>
      </c>
      <c r="K5" s="12" t="s">
        <v>370</v>
      </c>
      <c r="L5" s="17" t="s">
        <v>371</v>
      </c>
      <c r="M5" s="12" t="s">
        <v>323</v>
      </c>
      <c r="N5" s="12" t="s">
        <v>325</v>
      </c>
      <c r="O5" s="12" t="s">
        <v>326</v>
      </c>
      <c r="P5" s="12" t="s">
        <v>169</v>
      </c>
      <c r="Q5" s="8" t="s">
        <v>330</v>
      </c>
      <c r="R5" s="8" t="s">
        <v>148</v>
      </c>
      <c r="S5" s="12" t="s">
        <v>27</v>
      </c>
      <c r="T5" s="8" t="s">
        <v>149</v>
      </c>
    </row>
    <row r="6" spans="1:20" s="19" customFormat="1" ht="67.5" x14ac:dyDescent="0.25">
      <c r="A6" s="20" t="s">
        <v>835</v>
      </c>
      <c r="B6" s="20" t="s">
        <v>1330</v>
      </c>
      <c r="C6" s="20" t="s">
        <v>1603</v>
      </c>
      <c r="D6" s="20" t="s">
        <v>341</v>
      </c>
      <c r="E6" s="18" t="s">
        <v>1330</v>
      </c>
      <c r="F6" s="18" t="s">
        <v>168</v>
      </c>
      <c r="G6" s="18" t="s">
        <v>756</v>
      </c>
      <c r="H6" s="18" t="s">
        <v>1683</v>
      </c>
      <c r="I6" s="18" t="s">
        <v>1606</v>
      </c>
      <c r="J6" s="18" t="s">
        <v>356</v>
      </c>
      <c r="K6" s="18" t="s">
        <v>1537</v>
      </c>
      <c r="L6" s="23" t="s">
        <v>1605</v>
      </c>
      <c r="M6" s="18" t="s">
        <v>1607</v>
      </c>
      <c r="N6" s="18" t="s">
        <v>1608</v>
      </c>
      <c r="O6" s="18" t="s">
        <v>366</v>
      </c>
      <c r="P6" s="27" t="s">
        <v>170</v>
      </c>
      <c r="Q6" s="20" t="s">
        <v>1604</v>
      </c>
      <c r="R6" s="20" t="s">
        <v>1609</v>
      </c>
      <c r="S6" s="18" t="s">
        <v>293</v>
      </c>
      <c r="T6" s="20" t="s">
        <v>1610</v>
      </c>
    </row>
    <row r="7" spans="1:20" s="19" customFormat="1" ht="67.5" x14ac:dyDescent="0.25">
      <c r="A7" s="20" t="s">
        <v>1016</v>
      </c>
      <c r="B7" s="20" t="s">
        <v>308</v>
      </c>
      <c r="C7" s="20" t="s">
        <v>2120</v>
      </c>
      <c r="D7" s="20" t="s">
        <v>341</v>
      </c>
      <c r="E7" s="18" t="s">
        <v>308</v>
      </c>
      <c r="F7" s="18" t="s">
        <v>168</v>
      </c>
      <c r="G7" s="18" t="s">
        <v>756</v>
      </c>
      <c r="H7" s="18" t="s">
        <v>1688</v>
      </c>
      <c r="I7" s="18" t="s">
        <v>2121</v>
      </c>
      <c r="J7" s="18" t="s">
        <v>355</v>
      </c>
      <c r="K7" s="18" t="s">
        <v>361</v>
      </c>
      <c r="L7" s="23" t="s">
        <v>2122</v>
      </c>
      <c r="M7" s="18" t="s">
        <v>2123</v>
      </c>
      <c r="N7" s="18" t="s">
        <v>2124</v>
      </c>
      <c r="O7" s="18" t="s">
        <v>366</v>
      </c>
      <c r="P7" s="27" t="s">
        <v>170</v>
      </c>
      <c r="Q7" s="20" t="s">
        <v>2125</v>
      </c>
      <c r="R7" s="20" t="s">
        <v>2126</v>
      </c>
      <c r="S7" s="18" t="s">
        <v>293</v>
      </c>
      <c r="T7" s="20" t="s">
        <v>2127</v>
      </c>
    </row>
    <row r="8" spans="1:20" s="19" customFormat="1" ht="22.5" customHeight="1" x14ac:dyDescent="0.25">
      <c r="A8" s="28" t="s">
        <v>484</v>
      </c>
      <c r="B8" s="28" t="s">
        <v>308</v>
      </c>
      <c r="C8" s="28" t="s">
        <v>569</v>
      </c>
      <c r="D8" s="28" t="s">
        <v>341</v>
      </c>
      <c r="E8" s="27" t="s">
        <v>308</v>
      </c>
      <c r="F8" s="27" t="s">
        <v>168</v>
      </c>
      <c r="G8" s="27" t="s">
        <v>352</v>
      </c>
      <c r="H8" s="27" t="s">
        <v>1677</v>
      </c>
      <c r="I8" s="27" t="s">
        <v>570</v>
      </c>
      <c r="J8" s="27" t="s">
        <v>355</v>
      </c>
      <c r="K8" s="27" t="s">
        <v>363</v>
      </c>
      <c r="L8" s="29" t="s">
        <v>373</v>
      </c>
      <c r="M8" s="27" t="s">
        <v>571</v>
      </c>
      <c r="N8" s="27" t="s">
        <v>572</v>
      </c>
      <c r="O8" s="27" t="s">
        <v>366</v>
      </c>
      <c r="P8" s="27" t="s">
        <v>170</v>
      </c>
      <c r="Q8" s="28" t="s">
        <v>573</v>
      </c>
      <c r="R8" s="28" t="s">
        <v>574</v>
      </c>
      <c r="S8" s="27" t="s">
        <v>293</v>
      </c>
      <c r="T8" s="28" t="s">
        <v>575</v>
      </c>
    </row>
    <row r="9" spans="1:20" s="19" customFormat="1" ht="78.75" x14ac:dyDescent="0.25">
      <c r="A9" s="28" t="s">
        <v>2346</v>
      </c>
      <c r="B9" s="28" t="s">
        <v>334</v>
      </c>
      <c r="C9" s="28" t="s">
        <v>2347</v>
      </c>
      <c r="D9" s="28" t="s">
        <v>341</v>
      </c>
      <c r="E9" s="27" t="s">
        <v>334</v>
      </c>
      <c r="F9" s="27" t="s">
        <v>168</v>
      </c>
      <c r="G9" s="27" t="s">
        <v>1749</v>
      </c>
      <c r="H9" s="27" t="s">
        <v>1685</v>
      </c>
      <c r="I9" s="27" t="s">
        <v>2348</v>
      </c>
      <c r="J9" s="27" t="s">
        <v>356</v>
      </c>
      <c r="K9" s="27" t="s">
        <v>1537</v>
      </c>
      <c r="L9" s="29" t="s">
        <v>2349</v>
      </c>
      <c r="M9" s="27" t="s">
        <v>2350</v>
      </c>
      <c r="N9" s="27" t="s">
        <v>2351</v>
      </c>
      <c r="O9" s="27" t="s">
        <v>367</v>
      </c>
      <c r="P9" s="27" t="s">
        <v>170</v>
      </c>
      <c r="Q9" s="28" t="s">
        <v>2352</v>
      </c>
      <c r="R9" s="28" t="s">
        <v>2353</v>
      </c>
      <c r="S9" s="27" t="s">
        <v>293</v>
      </c>
      <c r="T9" s="28" t="s">
        <v>2354</v>
      </c>
    </row>
    <row r="10" spans="1:20" s="19" customFormat="1" ht="22.5" x14ac:dyDescent="0.25">
      <c r="A10" s="28" t="s">
        <v>606</v>
      </c>
      <c r="B10" s="28" t="s">
        <v>334</v>
      </c>
      <c r="C10" s="28" t="s">
        <v>627</v>
      </c>
      <c r="D10" s="28" t="s">
        <v>341</v>
      </c>
      <c r="E10" s="27" t="s">
        <v>334</v>
      </c>
      <c r="F10" s="27" t="s">
        <v>168</v>
      </c>
      <c r="G10" s="27" t="s">
        <v>352</v>
      </c>
      <c r="H10" s="27" t="s">
        <v>1660</v>
      </c>
      <c r="I10" s="27" t="s">
        <v>628</v>
      </c>
      <c r="J10" s="27" t="s">
        <v>356</v>
      </c>
      <c r="K10" s="27" t="s">
        <v>362</v>
      </c>
      <c r="L10" s="29" t="s">
        <v>588</v>
      </c>
      <c r="M10" s="27" t="s">
        <v>629</v>
      </c>
      <c r="N10" s="27" t="s">
        <v>630</v>
      </c>
      <c r="O10" s="27" t="s">
        <v>367</v>
      </c>
      <c r="P10" s="27" t="s">
        <v>170</v>
      </c>
      <c r="Q10" s="28" t="s">
        <v>631</v>
      </c>
      <c r="R10" s="28" t="s">
        <v>632</v>
      </c>
      <c r="S10" s="27" t="s">
        <v>293</v>
      </c>
      <c r="T10" s="28" t="s">
        <v>633</v>
      </c>
    </row>
    <row r="11" spans="1:20" s="19" customFormat="1" ht="22.5" customHeight="1" x14ac:dyDescent="0.25">
      <c r="A11" s="28" t="s">
        <v>1846</v>
      </c>
      <c r="B11" s="28" t="s">
        <v>340</v>
      </c>
      <c r="C11" s="28" t="s">
        <v>2355</v>
      </c>
      <c r="D11" s="28" t="s">
        <v>341</v>
      </c>
      <c r="E11" s="27" t="s">
        <v>340</v>
      </c>
      <c r="F11" s="27" t="s">
        <v>168</v>
      </c>
      <c r="G11" s="27" t="s">
        <v>1749</v>
      </c>
      <c r="H11" s="27" t="s">
        <v>1659</v>
      </c>
      <c r="I11" s="27" t="s">
        <v>586</v>
      </c>
      <c r="J11" s="27" t="s">
        <v>356</v>
      </c>
      <c r="K11" s="27" t="s">
        <v>362</v>
      </c>
      <c r="L11" s="29" t="s">
        <v>2356</v>
      </c>
      <c r="M11" s="27" t="s">
        <v>2357</v>
      </c>
      <c r="N11" s="27" t="s">
        <v>2358</v>
      </c>
      <c r="O11" s="27" t="s">
        <v>367</v>
      </c>
      <c r="P11" s="27" t="s">
        <v>170</v>
      </c>
      <c r="Q11" s="28" t="s">
        <v>2359</v>
      </c>
      <c r="R11" s="28" t="s">
        <v>2360</v>
      </c>
      <c r="S11" s="27" t="s">
        <v>293</v>
      </c>
      <c r="T11" s="28" t="s">
        <v>2361</v>
      </c>
    </row>
    <row r="12" spans="1:20" s="19" customFormat="1" ht="56.25" customHeight="1" x14ac:dyDescent="0.25">
      <c r="A12" s="28" t="s">
        <v>824</v>
      </c>
      <c r="B12" s="28" t="s">
        <v>340</v>
      </c>
      <c r="C12" s="28" t="s">
        <v>585</v>
      </c>
      <c r="D12" s="28" t="s">
        <v>341</v>
      </c>
      <c r="E12" s="27" t="s">
        <v>340</v>
      </c>
      <c r="F12" s="27" t="s">
        <v>168</v>
      </c>
      <c r="G12" s="27" t="s">
        <v>352</v>
      </c>
      <c r="H12" s="27" t="s">
        <v>1659</v>
      </c>
      <c r="I12" s="27" t="s">
        <v>587</v>
      </c>
      <c r="J12" s="27" t="s">
        <v>356</v>
      </c>
      <c r="K12" s="27" t="s">
        <v>362</v>
      </c>
      <c r="L12" s="29" t="s">
        <v>589</v>
      </c>
      <c r="M12" s="27" t="s">
        <v>592</v>
      </c>
      <c r="N12" s="27" t="s">
        <v>595</v>
      </c>
      <c r="O12" s="27" t="s">
        <v>367</v>
      </c>
      <c r="P12" s="27" t="s">
        <v>170</v>
      </c>
      <c r="Q12" s="28" t="s">
        <v>598</v>
      </c>
      <c r="R12" s="28" t="s">
        <v>601</v>
      </c>
      <c r="S12" s="27" t="s">
        <v>293</v>
      </c>
      <c r="T12" s="28" t="s">
        <v>604</v>
      </c>
    </row>
    <row r="13" spans="1:20" s="19" customFormat="1" ht="33.75" customHeight="1" x14ac:dyDescent="0.25">
      <c r="A13" s="28" t="s">
        <v>823</v>
      </c>
      <c r="B13" s="28" t="s">
        <v>340</v>
      </c>
      <c r="C13" s="28" t="s">
        <v>584</v>
      </c>
      <c r="D13" s="28" t="s">
        <v>341</v>
      </c>
      <c r="E13" s="27" t="s">
        <v>340</v>
      </c>
      <c r="F13" s="27" t="s">
        <v>168</v>
      </c>
      <c r="G13" s="27" t="s">
        <v>352</v>
      </c>
      <c r="H13" s="27" t="s">
        <v>1659</v>
      </c>
      <c r="I13" s="27" t="s">
        <v>586</v>
      </c>
      <c r="J13" s="27" t="s">
        <v>356</v>
      </c>
      <c r="K13" s="27" t="s">
        <v>362</v>
      </c>
      <c r="L13" s="29" t="s">
        <v>588</v>
      </c>
      <c r="M13" s="27" t="s">
        <v>591</v>
      </c>
      <c r="N13" s="27" t="s">
        <v>594</v>
      </c>
      <c r="O13" s="27" t="s">
        <v>367</v>
      </c>
      <c r="P13" s="27" t="s">
        <v>170</v>
      </c>
      <c r="Q13" s="28" t="s">
        <v>597</v>
      </c>
      <c r="R13" s="28" t="s">
        <v>600</v>
      </c>
      <c r="S13" s="27" t="s">
        <v>293</v>
      </c>
      <c r="T13" s="28" t="s">
        <v>603</v>
      </c>
    </row>
    <row r="14" spans="1:20" s="19" customFormat="1" ht="56.25" customHeight="1" x14ac:dyDescent="0.25">
      <c r="A14" s="28" t="s">
        <v>822</v>
      </c>
      <c r="B14" s="28" t="s">
        <v>340</v>
      </c>
      <c r="C14" s="28" t="s">
        <v>583</v>
      </c>
      <c r="D14" s="28" t="s">
        <v>341</v>
      </c>
      <c r="E14" s="27" t="s">
        <v>340</v>
      </c>
      <c r="F14" s="27" t="s">
        <v>168</v>
      </c>
      <c r="G14" s="27" t="s">
        <v>352</v>
      </c>
      <c r="H14" s="27" t="s">
        <v>1659</v>
      </c>
      <c r="I14" s="27" t="s">
        <v>586</v>
      </c>
      <c r="J14" s="27" t="s">
        <v>356</v>
      </c>
      <c r="K14" s="27" t="s">
        <v>362</v>
      </c>
      <c r="L14" s="29" t="s">
        <v>588</v>
      </c>
      <c r="M14" s="27" t="s">
        <v>590</v>
      </c>
      <c r="N14" s="27" t="s">
        <v>593</v>
      </c>
      <c r="O14" s="27" t="s">
        <v>367</v>
      </c>
      <c r="P14" s="27" t="s">
        <v>170</v>
      </c>
      <c r="Q14" s="28" t="s">
        <v>596</v>
      </c>
      <c r="R14" s="28" t="s">
        <v>599</v>
      </c>
      <c r="S14" s="27" t="s">
        <v>293</v>
      </c>
      <c r="T14" s="28" t="s">
        <v>602</v>
      </c>
    </row>
    <row r="15" spans="1:20" s="19" customFormat="1" ht="78.75" customHeight="1" x14ac:dyDescent="0.25">
      <c r="A15" s="28" t="s">
        <v>355</v>
      </c>
      <c r="B15" s="20" t="s">
        <v>832</v>
      </c>
      <c r="C15" s="20" t="s">
        <v>1545</v>
      </c>
      <c r="D15" s="20" t="s">
        <v>341</v>
      </c>
      <c r="E15" s="18" t="s">
        <v>832</v>
      </c>
      <c r="F15" s="18" t="s">
        <v>168</v>
      </c>
      <c r="G15" s="18" t="s">
        <v>783</v>
      </c>
      <c r="H15" s="18" t="s">
        <v>1659</v>
      </c>
      <c r="I15" s="18" t="s">
        <v>1546</v>
      </c>
      <c r="J15" s="18" t="s">
        <v>356</v>
      </c>
      <c r="K15" s="18" t="s">
        <v>1537</v>
      </c>
      <c r="L15" s="23" t="s">
        <v>1547</v>
      </c>
      <c r="M15" s="18" t="s">
        <v>1548</v>
      </c>
      <c r="N15" s="18" t="s">
        <v>1549</v>
      </c>
      <c r="O15" s="18" t="s">
        <v>367</v>
      </c>
      <c r="P15" s="27" t="s">
        <v>170</v>
      </c>
      <c r="Q15" s="20" t="s">
        <v>1550</v>
      </c>
      <c r="R15" s="20" t="s">
        <v>1551</v>
      </c>
      <c r="S15" s="18" t="s">
        <v>293</v>
      </c>
      <c r="T15" s="20" t="s">
        <v>1552</v>
      </c>
    </row>
    <row r="16" spans="1:20" s="19" customFormat="1" ht="56.25" x14ac:dyDescent="0.25">
      <c r="A16" s="28" t="s">
        <v>2320</v>
      </c>
      <c r="B16" s="28" t="s">
        <v>832</v>
      </c>
      <c r="C16" s="28" t="s">
        <v>2362</v>
      </c>
      <c r="D16" s="28" t="s">
        <v>341</v>
      </c>
      <c r="E16" s="27" t="s">
        <v>832</v>
      </c>
      <c r="F16" s="27" t="s">
        <v>168</v>
      </c>
      <c r="G16" s="27" t="s">
        <v>783</v>
      </c>
      <c r="H16" s="27" t="s">
        <v>1659</v>
      </c>
      <c r="I16" s="27" t="s">
        <v>2363</v>
      </c>
      <c r="J16" s="27" t="s">
        <v>356</v>
      </c>
      <c r="K16" s="27" t="s">
        <v>1537</v>
      </c>
      <c r="L16" s="29" t="s">
        <v>2364</v>
      </c>
      <c r="M16" s="27" t="s">
        <v>1548</v>
      </c>
      <c r="N16" s="27" t="s">
        <v>2365</v>
      </c>
      <c r="O16" s="27" t="s">
        <v>367</v>
      </c>
      <c r="P16" s="27" t="s">
        <v>170</v>
      </c>
      <c r="Q16" s="28" t="s">
        <v>2366</v>
      </c>
      <c r="R16" s="28" t="s">
        <v>2367</v>
      </c>
      <c r="S16" s="27" t="s">
        <v>293</v>
      </c>
      <c r="T16" s="28" t="s">
        <v>2368</v>
      </c>
    </row>
    <row r="17" spans="1:20" s="19" customFormat="1" ht="67.5" x14ac:dyDescent="0.25">
      <c r="A17" s="28" t="s">
        <v>2321</v>
      </c>
      <c r="B17" s="28" t="s">
        <v>1410</v>
      </c>
      <c r="C17" s="28" t="s">
        <v>60</v>
      </c>
      <c r="D17" s="28" t="s">
        <v>341</v>
      </c>
      <c r="E17" s="27" t="s">
        <v>1410</v>
      </c>
      <c r="F17" s="27" t="s">
        <v>348</v>
      </c>
      <c r="G17" s="27" t="s">
        <v>2369</v>
      </c>
      <c r="H17" s="27" t="s">
        <v>1663</v>
      </c>
      <c r="I17" s="27" t="s">
        <v>60</v>
      </c>
      <c r="J17" s="27" t="s">
        <v>360</v>
      </c>
      <c r="K17" s="27" t="s">
        <v>362</v>
      </c>
      <c r="L17" s="29" t="s">
        <v>60</v>
      </c>
      <c r="M17" s="27" t="s">
        <v>2370</v>
      </c>
      <c r="N17" s="27" t="s">
        <v>2371</v>
      </c>
      <c r="O17" s="27" t="s">
        <v>60</v>
      </c>
      <c r="P17" s="27" t="s">
        <v>202</v>
      </c>
      <c r="Q17" s="28" t="s">
        <v>2372</v>
      </c>
      <c r="R17" s="28" t="s">
        <v>2373</v>
      </c>
      <c r="S17" s="27" t="s">
        <v>293</v>
      </c>
      <c r="T17" s="28" t="s">
        <v>2374</v>
      </c>
    </row>
    <row r="18" spans="1:20" s="19" customFormat="1" ht="78.75" x14ac:dyDescent="0.25">
      <c r="A18" s="28" t="s">
        <v>2322</v>
      </c>
      <c r="B18" s="28" t="s">
        <v>307</v>
      </c>
      <c r="C18" s="28" t="s">
        <v>2375</v>
      </c>
      <c r="D18" s="28" t="s">
        <v>341</v>
      </c>
      <c r="E18" s="27" t="s">
        <v>307</v>
      </c>
      <c r="F18" s="27" t="s">
        <v>168</v>
      </c>
      <c r="G18" s="27" t="s">
        <v>756</v>
      </c>
      <c r="H18" s="27" t="s">
        <v>1652</v>
      </c>
      <c r="I18" s="27" t="s">
        <v>2376</v>
      </c>
      <c r="J18" s="27" t="s">
        <v>355</v>
      </c>
      <c r="K18" s="27" t="s">
        <v>362</v>
      </c>
      <c r="L18" s="29" t="s">
        <v>2377</v>
      </c>
      <c r="M18" s="27" t="s">
        <v>2378</v>
      </c>
      <c r="N18" s="27" t="s">
        <v>2379</v>
      </c>
      <c r="O18" s="27" t="s">
        <v>368</v>
      </c>
      <c r="P18" s="27" t="s">
        <v>170</v>
      </c>
      <c r="Q18" s="28" t="s">
        <v>2380</v>
      </c>
      <c r="R18" s="28" t="s">
        <v>2381</v>
      </c>
      <c r="S18" s="27" t="s">
        <v>293</v>
      </c>
      <c r="T18" s="28" t="s">
        <v>2382</v>
      </c>
    </row>
    <row r="19" spans="1:20" s="19" customFormat="1" ht="33.75" x14ac:dyDescent="0.25">
      <c r="A19" s="28" t="s">
        <v>558</v>
      </c>
      <c r="B19" s="28" t="s">
        <v>307</v>
      </c>
      <c r="C19" s="28" t="s">
        <v>559</v>
      </c>
      <c r="D19" s="28" t="s">
        <v>341</v>
      </c>
      <c r="E19" s="27" t="s">
        <v>307</v>
      </c>
      <c r="F19" s="27" t="s">
        <v>168</v>
      </c>
      <c r="G19" s="27" t="s">
        <v>352</v>
      </c>
      <c r="H19" s="27" t="s">
        <v>1672</v>
      </c>
      <c r="I19" s="27" t="s">
        <v>560</v>
      </c>
      <c r="J19" s="27" t="s">
        <v>355</v>
      </c>
      <c r="K19" s="27" t="s">
        <v>362</v>
      </c>
      <c r="L19" s="29" t="s">
        <v>373</v>
      </c>
      <c r="M19" s="27" t="s">
        <v>561</v>
      </c>
      <c r="N19" s="27" t="s">
        <v>562</v>
      </c>
      <c r="O19" s="27" t="s">
        <v>366</v>
      </c>
      <c r="P19" s="27" t="s">
        <v>170</v>
      </c>
      <c r="Q19" s="28" t="s">
        <v>563</v>
      </c>
      <c r="R19" s="28" t="s">
        <v>564</v>
      </c>
      <c r="S19" s="27" t="s">
        <v>293</v>
      </c>
      <c r="T19" s="28" t="s">
        <v>565</v>
      </c>
    </row>
    <row r="20" spans="1:20" s="19" customFormat="1" ht="33.75" customHeight="1" x14ac:dyDescent="0.25">
      <c r="A20" s="28" t="s">
        <v>355</v>
      </c>
      <c r="B20" s="20" t="s">
        <v>834</v>
      </c>
      <c r="C20" s="20" t="s">
        <v>1611</v>
      </c>
      <c r="D20" s="20" t="s">
        <v>341</v>
      </c>
      <c r="E20" s="18" t="s">
        <v>834</v>
      </c>
      <c r="F20" s="18" t="s">
        <v>348</v>
      </c>
      <c r="G20" s="18" t="s">
        <v>783</v>
      </c>
      <c r="H20" s="18" t="s">
        <v>1659</v>
      </c>
      <c r="I20" s="18" t="s">
        <v>1612</v>
      </c>
      <c r="J20" s="18" t="s">
        <v>356</v>
      </c>
      <c r="K20" s="18" t="s">
        <v>362</v>
      </c>
      <c r="L20" s="23" t="s">
        <v>1613</v>
      </c>
      <c r="M20" s="18" t="s">
        <v>1614</v>
      </c>
      <c r="N20" s="18" t="s">
        <v>1615</v>
      </c>
      <c r="O20" s="18" t="s">
        <v>367</v>
      </c>
      <c r="P20" s="27" t="s">
        <v>170</v>
      </c>
      <c r="Q20" s="20" t="s">
        <v>1617</v>
      </c>
      <c r="R20" s="20" t="s">
        <v>1616</v>
      </c>
      <c r="S20" s="18" t="s">
        <v>293</v>
      </c>
      <c r="T20" s="20" t="s">
        <v>1618</v>
      </c>
    </row>
    <row r="21" spans="1:20" s="19" customFormat="1" ht="67.5" x14ac:dyDescent="0.25">
      <c r="A21" s="28" t="s">
        <v>1862</v>
      </c>
      <c r="B21" s="28" t="s">
        <v>834</v>
      </c>
      <c r="C21" s="28" t="s">
        <v>2486</v>
      </c>
      <c r="D21" s="28" t="s">
        <v>341</v>
      </c>
      <c r="E21" s="27" t="s">
        <v>834</v>
      </c>
      <c r="F21" s="27" t="s">
        <v>348</v>
      </c>
      <c r="G21" s="27" t="s">
        <v>1749</v>
      </c>
      <c r="H21" s="27" t="s">
        <v>1659</v>
      </c>
      <c r="I21" s="27" t="s">
        <v>2487</v>
      </c>
      <c r="J21" s="27" t="s">
        <v>356</v>
      </c>
      <c r="K21" s="27" t="s">
        <v>362</v>
      </c>
      <c r="L21" s="29" t="s">
        <v>2488</v>
      </c>
      <c r="M21" s="27" t="s">
        <v>2489</v>
      </c>
      <c r="N21" s="27" t="s">
        <v>2490</v>
      </c>
      <c r="O21" s="27" t="s">
        <v>367</v>
      </c>
      <c r="P21" s="27" t="s">
        <v>170</v>
      </c>
      <c r="Q21" s="28" t="s">
        <v>2491</v>
      </c>
      <c r="R21" s="28" t="s">
        <v>2492</v>
      </c>
      <c r="S21" s="27" t="s">
        <v>293</v>
      </c>
      <c r="T21" s="28" t="s">
        <v>2493</v>
      </c>
    </row>
    <row r="22" spans="1:20" s="19" customFormat="1" ht="22.5" customHeight="1" x14ac:dyDescent="0.25">
      <c r="A22" s="28" t="s">
        <v>1334</v>
      </c>
      <c r="B22" s="28" t="s">
        <v>345</v>
      </c>
      <c r="C22" s="28" t="s">
        <v>2383</v>
      </c>
      <c r="D22" s="28" t="s">
        <v>345</v>
      </c>
      <c r="E22" s="27" t="s">
        <v>345</v>
      </c>
      <c r="F22" s="27" t="s">
        <v>348</v>
      </c>
      <c r="G22" s="27" t="s">
        <v>1758</v>
      </c>
      <c r="H22" s="27" t="s">
        <v>1671</v>
      </c>
      <c r="I22" s="27" t="s">
        <v>2384</v>
      </c>
      <c r="J22" s="27" t="s">
        <v>356</v>
      </c>
      <c r="K22" s="27" t="s">
        <v>1341</v>
      </c>
      <c r="L22" s="29" t="s">
        <v>2385</v>
      </c>
      <c r="M22" s="27" t="s">
        <v>2386</v>
      </c>
      <c r="N22" s="27" t="s">
        <v>2387</v>
      </c>
      <c r="O22" s="27" t="s">
        <v>368</v>
      </c>
      <c r="P22" s="27" t="s">
        <v>170</v>
      </c>
      <c r="Q22" s="28" t="s">
        <v>1865</v>
      </c>
      <c r="R22" s="28" t="s">
        <v>2388</v>
      </c>
      <c r="S22" s="27" t="s">
        <v>293</v>
      </c>
      <c r="T22" s="28" t="s">
        <v>2389</v>
      </c>
    </row>
    <row r="23" spans="1:20" s="19" customFormat="1" ht="45" customHeight="1" x14ac:dyDescent="0.25">
      <c r="A23" s="20" t="s">
        <v>1741</v>
      </c>
      <c r="B23" s="20" t="s">
        <v>345</v>
      </c>
      <c r="C23" s="20" t="s">
        <v>1632</v>
      </c>
      <c r="D23" s="20" t="s">
        <v>345</v>
      </c>
      <c r="E23" s="18" t="s">
        <v>345</v>
      </c>
      <c r="F23" s="18" t="s">
        <v>348</v>
      </c>
      <c r="G23" s="18" t="s">
        <v>352</v>
      </c>
      <c r="H23" s="18" t="s">
        <v>1679</v>
      </c>
      <c r="I23" s="18" t="s">
        <v>1742</v>
      </c>
      <c r="J23" s="18" t="s">
        <v>356</v>
      </c>
      <c r="K23" s="18" t="s">
        <v>363</v>
      </c>
      <c r="L23" s="23" t="s">
        <v>1743</v>
      </c>
      <c r="M23" s="18" t="s">
        <v>1744</v>
      </c>
      <c r="N23" s="18" t="s">
        <v>1745</v>
      </c>
      <c r="O23" s="18" t="s">
        <v>366</v>
      </c>
      <c r="P23" s="27" t="s">
        <v>170</v>
      </c>
      <c r="Q23" s="20" t="s">
        <v>1631</v>
      </c>
      <c r="R23" s="20" t="s">
        <v>1746</v>
      </c>
      <c r="S23" s="18" t="s">
        <v>293</v>
      </c>
      <c r="T23" s="20" t="s">
        <v>1747</v>
      </c>
    </row>
    <row r="24" spans="1:20" s="19" customFormat="1" ht="45" customHeight="1" x14ac:dyDescent="0.25">
      <c r="A24" s="20" t="s">
        <v>355</v>
      </c>
      <c r="B24" s="20" t="s">
        <v>1633</v>
      </c>
      <c r="C24" s="20" t="s">
        <v>1748</v>
      </c>
      <c r="D24" s="20" t="s">
        <v>346</v>
      </c>
      <c r="E24" s="18" t="s">
        <v>1633</v>
      </c>
      <c r="F24" s="18" t="s">
        <v>348</v>
      </c>
      <c r="G24" s="18" t="s">
        <v>1749</v>
      </c>
      <c r="H24" s="18" t="s">
        <v>1661</v>
      </c>
      <c r="I24" s="18" t="s">
        <v>1750</v>
      </c>
      <c r="J24" s="18" t="s">
        <v>356</v>
      </c>
      <c r="K24" s="18" t="s">
        <v>1341</v>
      </c>
      <c r="L24" s="23" t="s">
        <v>1751</v>
      </c>
      <c r="M24" s="18" t="s">
        <v>1752</v>
      </c>
      <c r="N24" s="18" t="s">
        <v>1753</v>
      </c>
      <c r="O24" s="18" t="s">
        <v>367</v>
      </c>
      <c r="P24" s="27" t="s">
        <v>170</v>
      </c>
      <c r="Q24" s="20" t="s">
        <v>1754</v>
      </c>
      <c r="R24" s="20" t="s">
        <v>1755</v>
      </c>
      <c r="S24" s="18" t="s">
        <v>293</v>
      </c>
      <c r="T24" s="20" t="s">
        <v>1756</v>
      </c>
    </row>
    <row r="25" spans="1:20" s="25" customFormat="1" ht="56.25" x14ac:dyDescent="0.25">
      <c r="A25" s="28" t="s">
        <v>1868</v>
      </c>
      <c r="B25" s="28" t="s">
        <v>1633</v>
      </c>
      <c r="C25" s="28" t="s">
        <v>2599</v>
      </c>
      <c r="D25" s="28" t="s">
        <v>346</v>
      </c>
      <c r="E25" s="27" t="s">
        <v>1633</v>
      </c>
      <c r="F25" s="27" t="s">
        <v>348</v>
      </c>
      <c r="G25" s="27" t="s">
        <v>1749</v>
      </c>
      <c r="H25" s="27" t="s">
        <v>1661</v>
      </c>
      <c r="I25" s="27" t="s">
        <v>2600</v>
      </c>
      <c r="J25" s="27" t="s">
        <v>356</v>
      </c>
      <c r="K25" s="27" t="s">
        <v>1341</v>
      </c>
      <c r="L25" s="29" t="s">
        <v>2601</v>
      </c>
      <c r="M25" s="27" t="s">
        <v>2602</v>
      </c>
      <c r="N25" s="27" t="s">
        <v>2603</v>
      </c>
      <c r="O25" s="27" t="s">
        <v>367</v>
      </c>
      <c r="P25" s="27" t="s">
        <v>170</v>
      </c>
      <c r="Q25" s="28" t="s">
        <v>2604</v>
      </c>
      <c r="R25" s="28" t="s">
        <v>2605</v>
      </c>
      <c r="S25" s="27" t="s">
        <v>293</v>
      </c>
      <c r="T25" s="28" t="s">
        <v>2606</v>
      </c>
    </row>
    <row r="26" spans="1:20" s="25" customFormat="1" ht="45" customHeight="1" x14ac:dyDescent="0.25">
      <c r="A26" s="28" t="s">
        <v>440</v>
      </c>
      <c r="B26" s="28" t="s">
        <v>296</v>
      </c>
      <c r="C26" s="28" t="s">
        <v>459</v>
      </c>
      <c r="D26" s="28" t="s">
        <v>341</v>
      </c>
      <c r="E26" s="27" t="s">
        <v>296</v>
      </c>
      <c r="F26" s="27" t="s">
        <v>168</v>
      </c>
      <c r="G26" s="27" t="s">
        <v>352</v>
      </c>
      <c r="H26" s="27" t="s">
        <v>1672</v>
      </c>
      <c r="I26" s="27" t="s">
        <v>460</v>
      </c>
      <c r="J26" s="27" t="s">
        <v>357</v>
      </c>
      <c r="K26" s="27" t="s">
        <v>363</v>
      </c>
      <c r="L26" s="29" t="s">
        <v>462</v>
      </c>
      <c r="M26" s="27" t="s">
        <v>461</v>
      </c>
      <c r="N26" s="27" t="s">
        <v>463</v>
      </c>
      <c r="O26" s="27" t="s">
        <v>367</v>
      </c>
      <c r="P26" s="27" t="s">
        <v>170</v>
      </c>
      <c r="Q26" s="28" t="s">
        <v>464</v>
      </c>
      <c r="R26" s="28" t="s">
        <v>465</v>
      </c>
      <c r="S26" s="27" t="s">
        <v>293</v>
      </c>
      <c r="T26" s="28" t="s">
        <v>466</v>
      </c>
    </row>
    <row r="27" spans="1:20" s="25" customFormat="1" ht="22.5" customHeight="1" x14ac:dyDescent="0.25">
      <c r="A27" s="28" t="s">
        <v>2390</v>
      </c>
      <c r="B27" s="28" t="s">
        <v>296</v>
      </c>
      <c r="C27" s="28" t="s">
        <v>2391</v>
      </c>
      <c r="D27" s="28" t="s">
        <v>341</v>
      </c>
      <c r="E27" s="27" t="s">
        <v>296</v>
      </c>
      <c r="F27" s="27" t="s">
        <v>168</v>
      </c>
      <c r="G27" s="27" t="s">
        <v>783</v>
      </c>
      <c r="H27" s="27" t="s">
        <v>1687</v>
      </c>
      <c r="I27" s="27" t="s">
        <v>2392</v>
      </c>
      <c r="J27" s="27" t="s">
        <v>357</v>
      </c>
      <c r="K27" s="27" t="s">
        <v>364</v>
      </c>
      <c r="L27" s="29" t="s">
        <v>2393</v>
      </c>
      <c r="M27" s="27" t="s">
        <v>2394</v>
      </c>
      <c r="N27" s="27" t="s">
        <v>2395</v>
      </c>
      <c r="O27" s="27" t="s">
        <v>367</v>
      </c>
      <c r="P27" s="27" t="s">
        <v>170</v>
      </c>
      <c r="Q27" s="28" t="s">
        <v>2396</v>
      </c>
      <c r="R27" s="28" t="s">
        <v>2397</v>
      </c>
      <c r="S27" s="27" t="s">
        <v>293</v>
      </c>
      <c r="T27" s="28" t="s">
        <v>2398</v>
      </c>
    </row>
    <row r="28" spans="1:20" s="25" customFormat="1" ht="33.75" x14ac:dyDescent="0.25">
      <c r="A28" s="28" t="s">
        <v>403</v>
      </c>
      <c r="B28" s="28" t="s">
        <v>576</v>
      </c>
      <c r="C28" s="28" t="s">
        <v>821</v>
      </c>
      <c r="D28" s="28" t="s">
        <v>341</v>
      </c>
      <c r="E28" s="27" t="s">
        <v>576</v>
      </c>
      <c r="F28" s="27" t="s">
        <v>168</v>
      </c>
      <c r="G28" s="27" t="s">
        <v>352</v>
      </c>
      <c r="H28" s="27" t="s">
        <v>1681</v>
      </c>
      <c r="I28" s="27" t="s">
        <v>577</v>
      </c>
      <c r="J28" s="27" t="s">
        <v>355</v>
      </c>
      <c r="K28" s="27" t="s">
        <v>363</v>
      </c>
      <c r="L28" s="29" t="s">
        <v>434</v>
      </c>
      <c r="M28" s="27" t="s">
        <v>578</v>
      </c>
      <c r="N28" s="27" t="s">
        <v>579</v>
      </c>
      <c r="O28" s="27" t="s">
        <v>366</v>
      </c>
      <c r="P28" s="27" t="s">
        <v>170</v>
      </c>
      <c r="Q28" s="28" t="s">
        <v>580</v>
      </c>
      <c r="R28" s="28" t="s">
        <v>581</v>
      </c>
      <c r="S28" s="27" t="s">
        <v>293</v>
      </c>
      <c r="T28" s="28" t="s">
        <v>582</v>
      </c>
    </row>
    <row r="29" spans="1:20" s="25" customFormat="1" ht="33.75" customHeight="1" x14ac:dyDescent="0.25">
      <c r="A29" s="28" t="s">
        <v>403</v>
      </c>
      <c r="B29" s="28" t="s">
        <v>302</v>
      </c>
      <c r="C29" s="28" t="s">
        <v>524</v>
      </c>
      <c r="D29" s="28" t="s">
        <v>341</v>
      </c>
      <c r="E29" s="27" t="s">
        <v>302</v>
      </c>
      <c r="F29" s="27" t="s">
        <v>168</v>
      </c>
      <c r="G29" s="27" t="s">
        <v>352</v>
      </c>
      <c r="H29" s="27" t="s">
        <v>1680</v>
      </c>
      <c r="I29" s="27" t="s">
        <v>525</v>
      </c>
      <c r="J29" s="27" t="s">
        <v>355</v>
      </c>
      <c r="K29" s="27" t="s">
        <v>363</v>
      </c>
      <c r="L29" s="29" t="s">
        <v>373</v>
      </c>
      <c r="M29" s="27" t="s">
        <v>526</v>
      </c>
      <c r="N29" s="27" t="s">
        <v>527</v>
      </c>
      <c r="O29" s="27" t="s">
        <v>366</v>
      </c>
      <c r="P29" s="27" t="s">
        <v>170</v>
      </c>
      <c r="Q29" s="28" t="s">
        <v>528</v>
      </c>
      <c r="R29" s="28" t="s">
        <v>529</v>
      </c>
      <c r="S29" s="27" t="s">
        <v>293</v>
      </c>
      <c r="T29" s="28" t="s">
        <v>530</v>
      </c>
    </row>
    <row r="30" spans="1:20" s="25" customFormat="1" ht="67.5" customHeight="1" x14ac:dyDescent="0.25">
      <c r="A30" s="28" t="s">
        <v>2324</v>
      </c>
      <c r="B30" s="28" t="s">
        <v>302</v>
      </c>
      <c r="C30" s="28" t="s">
        <v>2399</v>
      </c>
      <c r="D30" s="28" t="s">
        <v>341</v>
      </c>
      <c r="E30" s="27" t="s">
        <v>302</v>
      </c>
      <c r="F30" s="27" t="s">
        <v>168</v>
      </c>
      <c r="G30" s="27" t="s">
        <v>1444</v>
      </c>
      <c r="H30" s="27" t="s">
        <v>1671</v>
      </c>
      <c r="I30" s="27" t="s">
        <v>2400</v>
      </c>
      <c r="J30" s="27" t="s">
        <v>356</v>
      </c>
      <c r="K30" s="27" t="s">
        <v>363</v>
      </c>
      <c r="L30" s="29" t="s">
        <v>2401</v>
      </c>
      <c r="M30" s="27" t="s">
        <v>2402</v>
      </c>
      <c r="N30" s="27" t="s">
        <v>2403</v>
      </c>
      <c r="O30" s="27" t="s">
        <v>368</v>
      </c>
      <c r="P30" s="27" t="s">
        <v>170</v>
      </c>
      <c r="Q30" s="28" t="s">
        <v>2404</v>
      </c>
      <c r="R30" s="28" t="s">
        <v>2405</v>
      </c>
      <c r="S30" s="27" t="s">
        <v>293</v>
      </c>
      <c r="T30" s="28" t="s">
        <v>2406</v>
      </c>
    </row>
    <row r="31" spans="1:20" s="25" customFormat="1" ht="67.5" customHeight="1" x14ac:dyDescent="0.25">
      <c r="A31" s="20" t="s">
        <v>2110</v>
      </c>
      <c r="B31" s="20" t="s">
        <v>46</v>
      </c>
      <c r="C31" s="20" t="s">
        <v>2128</v>
      </c>
      <c r="D31" s="20" t="s">
        <v>341</v>
      </c>
      <c r="E31" s="18" t="s">
        <v>46</v>
      </c>
      <c r="F31" s="18" t="s">
        <v>168</v>
      </c>
      <c r="G31" s="18" t="s">
        <v>756</v>
      </c>
      <c r="H31" s="18" t="s">
        <v>1673</v>
      </c>
      <c r="I31" s="18" t="s">
        <v>2129</v>
      </c>
      <c r="J31" s="18" t="s">
        <v>355</v>
      </c>
      <c r="K31" s="18" t="s">
        <v>1341</v>
      </c>
      <c r="L31" s="23" t="s">
        <v>2130</v>
      </c>
      <c r="M31" s="18" t="s">
        <v>2131</v>
      </c>
      <c r="N31" s="18" t="s">
        <v>2132</v>
      </c>
      <c r="O31" s="18" t="s">
        <v>366</v>
      </c>
      <c r="P31" s="27" t="s">
        <v>170</v>
      </c>
      <c r="Q31" s="20" t="s">
        <v>2133</v>
      </c>
      <c r="R31" s="20" t="s">
        <v>2134</v>
      </c>
      <c r="S31" s="18" t="s">
        <v>293</v>
      </c>
      <c r="T31" s="20" t="s">
        <v>2135</v>
      </c>
    </row>
    <row r="32" spans="1:20" s="25" customFormat="1" ht="33.75" x14ac:dyDescent="0.25">
      <c r="A32" s="28" t="s">
        <v>350</v>
      </c>
      <c r="B32" s="28" t="s">
        <v>248</v>
      </c>
      <c r="C32" s="28" t="s">
        <v>351</v>
      </c>
      <c r="D32" s="28" t="s">
        <v>341</v>
      </c>
      <c r="E32" s="27" t="s">
        <v>333</v>
      </c>
      <c r="F32" s="27" t="s">
        <v>168</v>
      </c>
      <c r="G32" s="27" t="s">
        <v>352</v>
      </c>
      <c r="H32" s="27" t="s">
        <v>1695</v>
      </c>
      <c r="I32" s="27" t="s">
        <v>385</v>
      </c>
      <c r="J32" s="27" t="s">
        <v>356</v>
      </c>
      <c r="K32" s="27" t="s">
        <v>363</v>
      </c>
      <c r="L32" s="29" t="s">
        <v>373</v>
      </c>
      <c r="M32" s="27" t="s">
        <v>386</v>
      </c>
      <c r="N32" s="27" t="s">
        <v>388</v>
      </c>
      <c r="O32" s="27" t="s">
        <v>366</v>
      </c>
      <c r="P32" s="27" t="s">
        <v>170</v>
      </c>
      <c r="Q32" s="28" t="s">
        <v>389</v>
      </c>
      <c r="R32" s="28" t="s">
        <v>291</v>
      </c>
      <c r="S32" s="27" t="s">
        <v>293</v>
      </c>
      <c r="T32" s="28" t="s">
        <v>390</v>
      </c>
    </row>
    <row r="33" spans="1:20" s="25" customFormat="1" ht="67.5" customHeight="1" x14ac:dyDescent="0.25">
      <c r="A33" s="28" t="s">
        <v>440</v>
      </c>
      <c r="B33" s="28" t="s">
        <v>708</v>
      </c>
      <c r="C33" s="28" t="s">
        <v>381</v>
      </c>
      <c r="D33" s="28" t="s">
        <v>341</v>
      </c>
      <c r="E33" s="27" t="s">
        <v>708</v>
      </c>
      <c r="F33" s="27" t="s">
        <v>168</v>
      </c>
      <c r="G33" s="27" t="s">
        <v>352</v>
      </c>
      <c r="H33" s="27" t="s">
        <v>1657</v>
      </c>
      <c r="I33" s="27" t="s">
        <v>716</v>
      </c>
      <c r="J33" s="27" t="s">
        <v>357</v>
      </c>
      <c r="K33" s="27" t="s">
        <v>361</v>
      </c>
      <c r="L33" s="29" t="s">
        <v>717</v>
      </c>
      <c r="M33" s="27" t="s">
        <v>718</v>
      </c>
      <c r="N33" s="27" t="s">
        <v>719</v>
      </c>
      <c r="O33" s="27" t="s">
        <v>366</v>
      </c>
      <c r="P33" s="27" t="s">
        <v>170</v>
      </c>
      <c r="Q33" s="28" t="s">
        <v>720</v>
      </c>
      <c r="R33" s="28" t="s">
        <v>721</v>
      </c>
      <c r="S33" s="27" t="s">
        <v>293</v>
      </c>
      <c r="T33" s="28" t="s">
        <v>722</v>
      </c>
    </row>
    <row r="34" spans="1:20" s="25" customFormat="1" ht="56.25" x14ac:dyDescent="0.25">
      <c r="A34" s="28" t="s">
        <v>2325</v>
      </c>
      <c r="B34" s="28" t="s">
        <v>708</v>
      </c>
      <c r="C34" s="28" t="s">
        <v>2407</v>
      </c>
      <c r="D34" s="28" t="s">
        <v>341</v>
      </c>
      <c r="E34" s="27" t="s">
        <v>708</v>
      </c>
      <c r="F34" s="27" t="s">
        <v>348</v>
      </c>
      <c r="G34" s="27" t="s">
        <v>352</v>
      </c>
      <c r="H34" s="27" t="s">
        <v>1658</v>
      </c>
      <c r="I34" s="27" t="s">
        <v>1742</v>
      </c>
      <c r="J34" s="27" t="s">
        <v>356</v>
      </c>
      <c r="K34" s="27" t="s">
        <v>363</v>
      </c>
      <c r="L34" s="29" t="s">
        <v>2408</v>
      </c>
      <c r="M34" s="27" t="s">
        <v>2409</v>
      </c>
      <c r="N34" s="27" t="s">
        <v>2410</v>
      </c>
      <c r="O34" s="27" t="s">
        <v>368</v>
      </c>
      <c r="P34" s="27" t="s">
        <v>170</v>
      </c>
      <c r="Q34" s="28" t="s">
        <v>2411</v>
      </c>
      <c r="R34" s="28" t="s">
        <v>2412</v>
      </c>
      <c r="S34" s="27" t="s">
        <v>293</v>
      </c>
      <c r="T34" s="28" t="s">
        <v>2413</v>
      </c>
    </row>
    <row r="35" spans="1:20" s="25" customFormat="1" ht="33.75" customHeight="1" x14ac:dyDescent="0.25">
      <c r="A35" s="28" t="s">
        <v>440</v>
      </c>
      <c r="B35" s="28" t="s">
        <v>295</v>
      </c>
      <c r="C35" s="28" t="s">
        <v>441</v>
      </c>
      <c r="D35" s="28" t="s">
        <v>341</v>
      </c>
      <c r="E35" s="27" t="s">
        <v>295</v>
      </c>
      <c r="F35" s="27" t="s">
        <v>168</v>
      </c>
      <c r="G35" s="27" t="s">
        <v>352</v>
      </c>
      <c r="H35" s="27" t="s">
        <v>1663</v>
      </c>
      <c r="I35" s="27" t="s">
        <v>442</v>
      </c>
      <c r="J35" s="27" t="s">
        <v>357</v>
      </c>
      <c r="K35" s="27" t="s">
        <v>362</v>
      </c>
      <c r="L35" s="29" t="s">
        <v>443</v>
      </c>
      <c r="M35" s="27" t="s">
        <v>444</v>
      </c>
      <c r="N35" s="27" t="s">
        <v>445</v>
      </c>
      <c r="O35" s="27" t="s">
        <v>366</v>
      </c>
      <c r="P35" s="27" t="s">
        <v>170</v>
      </c>
      <c r="Q35" s="28" t="s">
        <v>446</v>
      </c>
      <c r="R35" s="28" t="s">
        <v>447</v>
      </c>
      <c r="S35" s="27" t="s">
        <v>293</v>
      </c>
      <c r="T35" s="28" t="s">
        <v>448</v>
      </c>
    </row>
    <row r="36" spans="1:20" s="25" customFormat="1" ht="78.75" customHeight="1" x14ac:dyDescent="0.25">
      <c r="A36" s="28" t="s">
        <v>484</v>
      </c>
      <c r="B36" s="28" t="s">
        <v>295</v>
      </c>
      <c r="C36" s="28" t="s">
        <v>2414</v>
      </c>
      <c r="D36" s="28" t="s">
        <v>341</v>
      </c>
      <c r="E36" s="27" t="s">
        <v>295</v>
      </c>
      <c r="F36" s="27" t="s">
        <v>348</v>
      </c>
      <c r="G36" s="27" t="s">
        <v>352</v>
      </c>
      <c r="H36" s="27" t="s">
        <v>1658</v>
      </c>
      <c r="I36" s="27" t="s">
        <v>2415</v>
      </c>
      <c r="J36" s="27" t="s">
        <v>356</v>
      </c>
      <c r="K36" s="27" t="s">
        <v>1341</v>
      </c>
      <c r="L36" s="29" t="s">
        <v>2416</v>
      </c>
      <c r="M36" s="27" t="s">
        <v>2417</v>
      </c>
      <c r="N36" s="27" t="s">
        <v>2418</v>
      </c>
      <c r="O36" s="27" t="s">
        <v>368</v>
      </c>
      <c r="P36" s="27" t="s">
        <v>170</v>
      </c>
      <c r="Q36" s="28" t="s">
        <v>2419</v>
      </c>
      <c r="R36" s="28" t="s">
        <v>2420</v>
      </c>
      <c r="S36" s="27" t="s">
        <v>293</v>
      </c>
      <c r="T36" s="28" t="s">
        <v>2421</v>
      </c>
    </row>
    <row r="37" spans="1:20" s="25" customFormat="1" ht="22.5" customHeight="1" x14ac:dyDescent="0.25">
      <c r="A37" s="28"/>
      <c r="B37" s="28" t="s">
        <v>380</v>
      </c>
      <c r="C37" s="28" t="s">
        <v>707</v>
      </c>
      <c r="D37" s="28" t="s">
        <v>341</v>
      </c>
      <c r="E37" s="27" t="s">
        <v>501</v>
      </c>
      <c r="F37" s="27" t="s">
        <v>348</v>
      </c>
      <c r="G37" s="27" t="s">
        <v>352</v>
      </c>
      <c r="H37" s="27" t="s">
        <v>1658</v>
      </c>
      <c r="I37" s="27" t="s">
        <v>709</v>
      </c>
      <c r="J37" s="27" t="s">
        <v>357</v>
      </c>
      <c r="K37" s="27" t="s">
        <v>363</v>
      </c>
      <c r="L37" s="29" t="s">
        <v>710</v>
      </c>
      <c r="M37" s="27" t="s">
        <v>711</v>
      </c>
      <c r="N37" s="27" t="s">
        <v>712</v>
      </c>
      <c r="O37" s="27" t="s">
        <v>366</v>
      </c>
      <c r="P37" s="27" t="s">
        <v>170</v>
      </c>
      <c r="Q37" s="28" t="s">
        <v>713</v>
      </c>
      <c r="R37" s="28" t="s">
        <v>714</v>
      </c>
      <c r="S37" s="27" t="s">
        <v>293</v>
      </c>
      <c r="T37" s="28" t="s">
        <v>715</v>
      </c>
    </row>
    <row r="38" spans="1:20" s="25" customFormat="1" ht="78.75" customHeight="1" x14ac:dyDescent="0.25">
      <c r="A38" s="28" t="s">
        <v>1895</v>
      </c>
      <c r="B38" s="28" t="s">
        <v>335</v>
      </c>
      <c r="C38" s="28" t="s">
        <v>2435</v>
      </c>
      <c r="D38" s="28" t="s">
        <v>341</v>
      </c>
      <c r="E38" s="27" t="s">
        <v>335</v>
      </c>
      <c r="F38" s="27" t="s">
        <v>348</v>
      </c>
      <c r="G38" s="27" t="s">
        <v>1749</v>
      </c>
      <c r="H38" s="27" t="s">
        <v>1661</v>
      </c>
      <c r="I38" s="27" t="s">
        <v>470</v>
      </c>
      <c r="J38" s="27" t="s">
        <v>357</v>
      </c>
      <c r="K38" s="27" t="s">
        <v>1537</v>
      </c>
      <c r="L38" s="29" t="s">
        <v>2436</v>
      </c>
      <c r="M38" s="27" t="s">
        <v>2437</v>
      </c>
      <c r="N38" s="27" t="s">
        <v>2438</v>
      </c>
      <c r="O38" s="27" t="s">
        <v>367</v>
      </c>
      <c r="P38" s="27" t="s">
        <v>170</v>
      </c>
      <c r="Q38" s="28" t="s">
        <v>2439</v>
      </c>
      <c r="R38" s="28" t="s">
        <v>2440</v>
      </c>
      <c r="S38" s="27" t="s">
        <v>293</v>
      </c>
      <c r="T38" s="28" t="s">
        <v>2441</v>
      </c>
    </row>
    <row r="39" spans="1:20" s="25" customFormat="1" ht="45" customHeight="1" x14ac:dyDescent="0.25">
      <c r="A39" s="28"/>
      <c r="B39" s="28" t="s">
        <v>335</v>
      </c>
      <c r="C39" s="28" t="s">
        <v>649</v>
      </c>
      <c r="D39" s="28" t="s">
        <v>341</v>
      </c>
      <c r="E39" s="27" t="s">
        <v>335</v>
      </c>
      <c r="F39" s="27" t="s">
        <v>348</v>
      </c>
      <c r="G39" s="27" t="s">
        <v>352</v>
      </c>
      <c r="H39" s="27" t="s">
        <v>1685</v>
      </c>
      <c r="I39" s="27" t="s">
        <v>470</v>
      </c>
      <c r="J39" s="27" t="s">
        <v>356</v>
      </c>
      <c r="K39" s="27" t="s">
        <v>362</v>
      </c>
      <c r="L39" s="29" t="s">
        <v>650</v>
      </c>
      <c r="M39" s="27" t="s">
        <v>651</v>
      </c>
      <c r="N39" s="27" t="s">
        <v>652</v>
      </c>
      <c r="O39" s="27" t="s">
        <v>367</v>
      </c>
      <c r="P39" s="27" t="s">
        <v>170</v>
      </c>
      <c r="Q39" s="28" t="s">
        <v>312</v>
      </c>
      <c r="R39" s="28" t="s">
        <v>653</v>
      </c>
      <c r="S39" s="27" t="s">
        <v>293</v>
      </c>
      <c r="T39" s="28" t="s">
        <v>654</v>
      </c>
    </row>
    <row r="40" spans="1:20" s="25" customFormat="1" ht="33.75" customHeight="1" x14ac:dyDescent="0.25">
      <c r="A40" s="28"/>
      <c r="B40" s="28" t="s">
        <v>677</v>
      </c>
      <c r="C40" s="28" t="s">
        <v>739</v>
      </c>
      <c r="D40" s="28" t="s">
        <v>341</v>
      </c>
      <c r="E40" s="27" t="s">
        <v>677</v>
      </c>
      <c r="F40" s="27" t="s">
        <v>348</v>
      </c>
      <c r="G40" s="27" t="s">
        <v>352</v>
      </c>
      <c r="H40" s="27" t="s">
        <v>1696</v>
      </c>
      <c r="I40" s="27" t="s">
        <v>740</v>
      </c>
      <c r="J40" s="27" t="s">
        <v>356</v>
      </c>
      <c r="K40" s="27" t="s">
        <v>361</v>
      </c>
      <c r="L40" s="29" t="s">
        <v>741</v>
      </c>
      <c r="M40" s="27" t="s">
        <v>742</v>
      </c>
      <c r="N40" s="27" t="s">
        <v>743</v>
      </c>
      <c r="O40" s="27" t="s">
        <v>366</v>
      </c>
      <c r="P40" s="27" t="s">
        <v>170</v>
      </c>
      <c r="Q40" s="28" t="s">
        <v>744</v>
      </c>
      <c r="R40" s="28" t="s">
        <v>745</v>
      </c>
      <c r="S40" s="27" t="s">
        <v>293</v>
      </c>
      <c r="T40" s="28" t="s">
        <v>746</v>
      </c>
    </row>
    <row r="41" spans="1:20" s="25" customFormat="1" ht="56.25" customHeight="1" x14ac:dyDescent="0.25">
      <c r="A41" s="28"/>
      <c r="B41" s="28" t="s">
        <v>680</v>
      </c>
      <c r="C41" s="28" t="s">
        <v>764</v>
      </c>
      <c r="D41" s="28" t="s">
        <v>341</v>
      </c>
      <c r="E41" s="27" t="s">
        <v>680</v>
      </c>
      <c r="F41" s="27" t="s">
        <v>765</v>
      </c>
      <c r="G41" s="27" t="s">
        <v>352</v>
      </c>
      <c r="H41" s="27" t="s">
        <v>1658</v>
      </c>
      <c r="I41" s="27" t="s">
        <v>766</v>
      </c>
      <c r="J41" s="27" t="s">
        <v>356</v>
      </c>
      <c r="K41" s="27" t="s">
        <v>363</v>
      </c>
      <c r="L41" s="29" t="s">
        <v>767</v>
      </c>
      <c r="M41" s="27" t="s">
        <v>768</v>
      </c>
      <c r="N41" s="27" t="s">
        <v>769</v>
      </c>
      <c r="O41" s="27" t="s">
        <v>366</v>
      </c>
      <c r="P41" s="27" t="s">
        <v>170</v>
      </c>
      <c r="Q41" s="28" t="s">
        <v>770</v>
      </c>
      <c r="R41" s="28" t="s">
        <v>771</v>
      </c>
      <c r="S41" s="27" t="s">
        <v>293</v>
      </c>
      <c r="T41" s="28" t="s">
        <v>772</v>
      </c>
    </row>
    <row r="42" spans="1:20" s="25" customFormat="1" ht="22.5" customHeight="1" x14ac:dyDescent="0.25">
      <c r="A42" s="28" t="s">
        <v>413</v>
      </c>
      <c r="B42" s="28" t="s">
        <v>292</v>
      </c>
      <c r="C42" s="28" t="s">
        <v>414</v>
      </c>
      <c r="D42" s="28" t="s">
        <v>342</v>
      </c>
      <c r="E42" s="27" t="s">
        <v>292</v>
      </c>
      <c r="F42" s="27" t="s">
        <v>348</v>
      </c>
      <c r="G42" s="27" t="s">
        <v>352</v>
      </c>
      <c r="H42" s="27" t="s">
        <v>1646</v>
      </c>
      <c r="I42" s="27" t="s">
        <v>415</v>
      </c>
      <c r="J42" s="27" t="s">
        <v>355</v>
      </c>
      <c r="K42" s="27" t="s">
        <v>362</v>
      </c>
      <c r="L42" s="29" t="s">
        <v>416</v>
      </c>
      <c r="M42" s="27" t="s">
        <v>417</v>
      </c>
      <c r="N42" s="27" t="s">
        <v>418</v>
      </c>
      <c r="O42" s="27" t="s">
        <v>366</v>
      </c>
      <c r="P42" s="27" t="s">
        <v>170</v>
      </c>
      <c r="Q42" s="28" t="s">
        <v>419</v>
      </c>
      <c r="R42" s="28" t="s">
        <v>420</v>
      </c>
      <c r="S42" s="27" t="s">
        <v>293</v>
      </c>
      <c r="T42" s="28" t="s">
        <v>421</v>
      </c>
    </row>
    <row r="43" spans="1:20" s="25" customFormat="1" ht="78.75" customHeight="1" x14ac:dyDescent="0.25">
      <c r="A43" s="20" t="s">
        <v>2111</v>
      </c>
      <c r="B43" s="20" t="s">
        <v>292</v>
      </c>
      <c r="C43" s="20" t="s">
        <v>2136</v>
      </c>
      <c r="D43" s="20" t="s">
        <v>342</v>
      </c>
      <c r="E43" s="18" t="s">
        <v>292</v>
      </c>
      <c r="F43" s="18" t="s">
        <v>348</v>
      </c>
      <c r="G43" s="18" t="s">
        <v>756</v>
      </c>
      <c r="H43" s="18" t="s">
        <v>1678</v>
      </c>
      <c r="I43" s="18" t="s">
        <v>1720</v>
      </c>
      <c r="J43" s="18" t="s">
        <v>356</v>
      </c>
      <c r="K43" s="18" t="s">
        <v>363</v>
      </c>
      <c r="L43" s="23" t="s">
        <v>2137</v>
      </c>
      <c r="M43" s="18" t="s">
        <v>2138</v>
      </c>
      <c r="N43" s="18" t="s">
        <v>2139</v>
      </c>
      <c r="O43" s="18" t="s">
        <v>366</v>
      </c>
      <c r="P43" s="27" t="s">
        <v>170</v>
      </c>
      <c r="Q43" s="20" t="s">
        <v>2140</v>
      </c>
      <c r="R43" s="20" t="s">
        <v>2141</v>
      </c>
      <c r="S43" s="18" t="s">
        <v>293</v>
      </c>
      <c r="T43" s="20" t="s">
        <v>2142</v>
      </c>
    </row>
    <row r="44" spans="1:20" s="25" customFormat="1" ht="78.75" customHeight="1" x14ac:dyDescent="0.25">
      <c r="A44" s="20" t="s">
        <v>606</v>
      </c>
      <c r="B44" s="20" t="s">
        <v>1331</v>
      </c>
      <c r="C44" s="20" t="s">
        <v>2143</v>
      </c>
      <c r="D44" s="20" t="s">
        <v>341</v>
      </c>
      <c r="E44" s="18" t="s">
        <v>1331</v>
      </c>
      <c r="F44" s="18" t="s">
        <v>168</v>
      </c>
      <c r="G44" s="18" t="s">
        <v>1749</v>
      </c>
      <c r="H44" s="18" t="s">
        <v>1659</v>
      </c>
      <c r="I44" s="18" t="s">
        <v>2144</v>
      </c>
      <c r="J44" s="18" t="s">
        <v>356</v>
      </c>
      <c r="K44" s="18" t="s">
        <v>1341</v>
      </c>
      <c r="L44" s="23" t="s">
        <v>2145</v>
      </c>
      <c r="M44" s="18" t="s">
        <v>2146</v>
      </c>
      <c r="N44" s="18" t="s">
        <v>2147</v>
      </c>
      <c r="O44" s="18" t="s">
        <v>367</v>
      </c>
      <c r="P44" s="27" t="s">
        <v>170</v>
      </c>
      <c r="Q44" s="20" t="s">
        <v>2148</v>
      </c>
      <c r="R44" s="20" t="s">
        <v>2149</v>
      </c>
      <c r="S44" s="18" t="s">
        <v>293</v>
      </c>
      <c r="T44" s="20" t="s">
        <v>2150</v>
      </c>
    </row>
    <row r="45" spans="1:20" s="25" customFormat="1" ht="33.75" x14ac:dyDescent="0.25">
      <c r="A45" s="28" t="s">
        <v>403</v>
      </c>
      <c r="B45" s="28" t="s">
        <v>304</v>
      </c>
      <c r="C45" s="28" t="s">
        <v>536</v>
      </c>
      <c r="D45" s="28" t="s">
        <v>341</v>
      </c>
      <c r="E45" s="27" t="s">
        <v>304</v>
      </c>
      <c r="F45" s="27" t="s">
        <v>168</v>
      </c>
      <c r="G45" s="27" t="s">
        <v>352</v>
      </c>
      <c r="H45" s="27" t="s">
        <v>1660</v>
      </c>
      <c r="I45" s="27" t="s">
        <v>537</v>
      </c>
      <c r="J45" s="27" t="s">
        <v>357</v>
      </c>
      <c r="K45" s="27" t="s">
        <v>363</v>
      </c>
      <c r="L45" s="29" t="s">
        <v>434</v>
      </c>
      <c r="M45" s="27" t="s">
        <v>426</v>
      </c>
      <c r="N45" s="27" t="s">
        <v>538</v>
      </c>
      <c r="O45" s="27" t="s">
        <v>367</v>
      </c>
      <c r="P45" s="27" t="s">
        <v>170</v>
      </c>
      <c r="Q45" s="28" t="s">
        <v>539</v>
      </c>
      <c r="R45" s="28" t="s">
        <v>540</v>
      </c>
      <c r="S45" s="27" t="s">
        <v>293</v>
      </c>
      <c r="T45" s="28" t="s">
        <v>541</v>
      </c>
    </row>
    <row r="46" spans="1:20" s="25" customFormat="1" ht="67.5" customHeight="1" x14ac:dyDescent="0.25">
      <c r="A46" s="20" t="s">
        <v>2112</v>
      </c>
      <c r="B46" s="20" t="s">
        <v>304</v>
      </c>
      <c r="C46" s="20" t="s">
        <v>2151</v>
      </c>
      <c r="D46" s="20" t="s">
        <v>341</v>
      </c>
      <c r="E46" s="18" t="s">
        <v>304</v>
      </c>
      <c r="F46" s="18" t="s">
        <v>168</v>
      </c>
      <c r="G46" s="18" t="s">
        <v>1749</v>
      </c>
      <c r="H46" s="18" t="s">
        <v>1660</v>
      </c>
      <c r="I46" s="18" t="s">
        <v>2152</v>
      </c>
      <c r="J46" s="18" t="s">
        <v>356</v>
      </c>
      <c r="K46" s="18" t="s">
        <v>362</v>
      </c>
      <c r="L46" s="23" t="s">
        <v>2153</v>
      </c>
      <c r="M46" s="18" t="s">
        <v>2154</v>
      </c>
      <c r="N46" s="18" t="s">
        <v>2155</v>
      </c>
      <c r="O46" s="18" t="s">
        <v>366</v>
      </c>
      <c r="P46" s="27" t="s">
        <v>170</v>
      </c>
      <c r="Q46" s="20" t="s">
        <v>2156</v>
      </c>
      <c r="R46" s="20" t="s">
        <v>2157</v>
      </c>
      <c r="S46" s="18" t="s">
        <v>293</v>
      </c>
      <c r="T46" s="20" t="s">
        <v>2158</v>
      </c>
    </row>
    <row r="47" spans="1:20" s="25" customFormat="1" ht="56.25" customHeight="1" x14ac:dyDescent="0.25">
      <c r="A47" s="28" t="s">
        <v>655</v>
      </c>
      <c r="B47" s="28" t="s">
        <v>336</v>
      </c>
      <c r="C47" s="28" t="s">
        <v>656</v>
      </c>
      <c r="D47" s="28" t="s">
        <v>341</v>
      </c>
      <c r="E47" s="27" t="s">
        <v>336</v>
      </c>
      <c r="F47" s="27" t="s">
        <v>348</v>
      </c>
      <c r="G47" s="27" t="s">
        <v>352</v>
      </c>
      <c r="H47" s="27" t="s">
        <v>1667</v>
      </c>
      <c r="I47" s="27" t="s">
        <v>657</v>
      </c>
      <c r="J47" s="27" t="s">
        <v>356</v>
      </c>
      <c r="K47" s="27" t="s">
        <v>362</v>
      </c>
      <c r="L47" s="29" t="s">
        <v>658</v>
      </c>
      <c r="M47" s="27" t="s">
        <v>659</v>
      </c>
      <c r="N47" s="27" t="s">
        <v>660</v>
      </c>
      <c r="O47" s="27" t="s">
        <v>366</v>
      </c>
      <c r="P47" s="27" t="s">
        <v>170</v>
      </c>
      <c r="Q47" s="28" t="s">
        <v>661</v>
      </c>
      <c r="R47" s="28" t="s">
        <v>662</v>
      </c>
      <c r="S47" s="27" t="s">
        <v>293</v>
      </c>
      <c r="T47" s="28" t="s">
        <v>663</v>
      </c>
    </row>
    <row r="48" spans="1:20" s="25" customFormat="1" ht="90" customHeight="1" x14ac:dyDescent="0.25">
      <c r="A48" s="28" t="s">
        <v>655</v>
      </c>
      <c r="B48" s="28" t="s">
        <v>336</v>
      </c>
      <c r="C48" s="28" t="s">
        <v>656</v>
      </c>
      <c r="D48" s="28" t="s">
        <v>341</v>
      </c>
      <c r="E48" s="27" t="s">
        <v>336</v>
      </c>
      <c r="F48" s="27" t="s">
        <v>348</v>
      </c>
      <c r="G48" s="27" t="s">
        <v>1749</v>
      </c>
      <c r="H48" s="27" t="s">
        <v>1667</v>
      </c>
      <c r="I48" s="27" t="s">
        <v>1750</v>
      </c>
      <c r="J48" s="27" t="s">
        <v>356</v>
      </c>
      <c r="K48" s="27" t="s">
        <v>1537</v>
      </c>
      <c r="L48" s="29" t="s">
        <v>2422</v>
      </c>
      <c r="M48" s="27" t="s">
        <v>2423</v>
      </c>
      <c r="N48" s="27" t="s">
        <v>2424</v>
      </c>
      <c r="O48" s="27" t="s">
        <v>367</v>
      </c>
      <c r="P48" s="27" t="s">
        <v>170</v>
      </c>
      <c r="Q48" s="28" t="s">
        <v>661</v>
      </c>
      <c r="R48" s="28" t="s">
        <v>662</v>
      </c>
      <c r="S48" s="27" t="s">
        <v>293</v>
      </c>
      <c r="T48" s="28" t="s">
        <v>2425</v>
      </c>
    </row>
    <row r="49" spans="1:20" s="25" customFormat="1" ht="45" customHeight="1" x14ac:dyDescent="0.25">
      <c r="A49" s="28" t="s">
        <v>1919</v>
      </c>
      <c r="B49" s="28" t="s">
        <v>1554</v>
      </c>
      <c r="C49" s="28" t="s">
        <v>2546</v>
      </c>
      <c r="D49" s="28" t="s">
        <v>341</v>
      </c>
      <c r="E49" s="27" t="s">
        <v>1554</v>
      </c>
      <c r="F49" s="27" t="s">
        <v>348</v>
      </c>
      <c r="G49" s="27" t="s">
        <v>1749</v>
      </c>
      <c r="H49" s="27" t="s">
        <v>1659</v>
      </c>
      <c r="I49" s="27" t="s">
        <v>2487</v>
      </c>
      <c r="J49" s="27" t="s">
        <v>356</v>
      </c>
      <c r="K49" s="27" t="s">
        <v>1537</v>
      </c>
      <c r="L49" s="29" t="s">
        <v>2496</v>
      </c>
      <c r="M49" s="27" t="s">
        <v>2547</v>
      </c>
      <c r="N49" s="27" t="s">
        <v>2548</v>
      </c>
      <c r="O49" s="27" t="s">
        <v>367</v>
      </c>
      <c r="P49" s="27" t="s">
        <v>170</v>
      </c>
      <c r="Q49" s="28" t="s">
        <v>2549</v>
      </c>
      <c r="R49" s="28" t="s">
        <v>2550</v>
      </c>
      <c r="S49" s="27" t="s">
        <v>293</v>
      </c>
      <c r="T49" s="28" t="s">
        <v>2551</v>
      </c>
    </row>
    <row r="50" spans="1:20" ht="45" customHeight="1" x14ac:dyDescent="0.25">
      <c r="A50" s="28"/>
      <c r="B50" s="28" t="s">
        <v>311</v>
      </c>
      <c r="C50" s="28" t="s">
        <v>634</v>
      </c>
      <c r="D50" s="28" t="s">
        <v>288</v>
      </c>
      <c r="E50" s="27" t="s">
        <v>288</v>
      </c>
      <c r="F50" s="27" t="s">
        <v>348</v>
      </c>
      <c r="G50" s="27" t="s">
        <v>352</v>
      </c>
      <c r="H50" s="27" t="s">
        <v>1661</v>
      </c>
      <c r="I50" s="27" t="s">
        <v>635</v>
      </c>
      <c r="J50" s="27" t="s">
        <v>355</v>
      </c>
      <c r="K50" s="27" t="s">
        <v>363</v>
      </c>
      <c r="L50" s="29" t="s">
        <v>434</v>
      </c>
      <c r="M50" s="29" t="s">
        <v>636</v>
      </c>
      <c r="N50" s="27" t="s">
        <v>637</v>
      </c>
      <c r="O50" s="27" t="s">
        <v>367</v>
      </c>
      <c r="P50" s="27" t="s">
        <v>170</v>
      </c>
      <c r="Q50" s="28" t="s">
        <v>311</v>
      </c>
      <c r="R50" s="28" t="s">
        <v>638</v>
      </c>
      <c r="S50" s="27" t="s">
        <v>293</v>
      </c>
      <c r="T50" s="28" t="s">
        <v>639</v>
      </c>
    </row>
    <row r="51" spans="1:20" ht="67.5" customHeight="1" x14ac:dyDescent="0.25">
      <c r="A51" s="20" t="s">
        <v>1334</v>
      </c>
      <c r="B51" s="20" t="s">
        <v>431</v>
      </c>
      <c r="C51" s="20" t="s">
        <v>2159</v>
      </c>
      <c r="D51" s="20" t="s">
        <v>341</v>
      </c>
      <c r="E51" s="18" t="s">
        <v>431</v>
      </c>
      <c r="F51" s="18" t="s">
        <v>168</v>
      </c>
      <c r="G51" s="18" t="s">
        <v>756</v>
      </c>
      <c r="H51" s="18" t="s">
        <v>1653</v>
      </c>
      <c r="I51" s="18" t="s">
        <v>2160</v>
      </c>
      <c r="J51" s="18" t="s">
        <v>355</v>
      </c>
      <c r="K51" s="18" t="s">
        <v>363</v>
      </c>
      <c r="L51" s="23" t="s">
        <v>2161</v>
      </c>
      <c r="M51" s="18" t="s">
        <v>2162</v>
      </c>
      <c r="N51" s="18" t="s">
        <v>2163</v>
      </c>
      <c r="O51" s="18" t="s">
        <v>366</v>
      </c>
      <c r="P51" s="27" t="s">
        <v>170</v>
      </c>
      <c r="Q51" s="20" t="s">
        <v>2164</v>
      </c>
      <c r="R51" s="20" t="s">
        <v>2165</v>
      </c>
      <c r="S51" s="18" t="s">
        <v>293</v>
      </c>
      <c r="T51" s="20" t="s">
        <v>2166</v>
      </c>
    </row>
    <row r="52" spans="1:20" ht="56.25" customHeight="1" x14ac:dyDescent="0.25">
      <c r="A52" s="28" t="s">
        <v>350</v>
      </c>
      <c r="B52" s="28" t="s">
        <v>431</v>
      </c>
      <c r="C52" s="28" t="s">
        <v>432</v>
      </c>
      <c r="D52" s="28" t="s">
        <v>341</v>
      </c>
      <c r="E52" s="27" t="s">
        <v>431</v>
      </c>
      <c r="F52" s="27" t="s">
        <v>168</v>
      </c>
      <c r="G52" s="27" t="s">
        <v>352</v>
      </c>
      <c r="H52" s="27" t="s">
        <v>1653</v>
      </c>
      <c r="I52" s="27" t="s">
        <v>433</v>
      </c>
      <c r="J52" s="27" t="s">
        <v>355</v>
      </c>
      <c r="K52" s="27" t="s">
        <v>363</v>
      </c>
      <c r="L52" s="29" t="s">
        <v>434</v>
      </c>
      <c r="M52" s="27" t="s">
        <v>435</v>
      </c>
      <c r="N52" s="27" t="s">
        <v>436</v>
      </c>
      <c r="O52" s="27" t="s">
        <v>366</v>
      </c>
      <c r="P52" s="27" t="s">
        <v>170</v>
      </c>
      <c r="Q52" s="28" t="s">
        <v>437</v>
      </c>
      <c r="R52" s="28" t="s">
        <v>438</v>
      </c>
      <c r="S52" s="27" t="s">
        <v>293</v>
      </c>
      <c r="T52" s="28" t="s">
        <v>439</v>
      </c>
    </row>
    <row r="53" spans="1:20" ht="45" x14ac:dyDescent="0.25">
      <c r="A53" s="28" t="s">
        <v>2426</v>
      </c>
      <c r="B53" s="28" t="s">
        <v>500</v>
      </c>
      <c r="C53" s="28" t="s">
        <v>2427</v>
      </c>
      <c r="D53" s="28" t="s">
        <v>341</v>
      </c>
      <c r="E53" s="27" t="s">
        <v>500</v>
      </c>
      <c r="F53" s="27" t="s">
        <v>168</v>
      </c>
      <c r="G53" s="27" t="s">
        <v>1555</v>
      </c>
      <c r="H53" s="27" t="s">
        <v>1659</v>
      </c>
      <c r="I53" s="27" t="s">
        <v>2428</v>
      </c>
      <c r="J53" s="27" t="s">
        <v>356</v>
      </c>
      <c r="K53" s="27" t="s">
        <v>1537</v>
      </c>
      <c r="L53" s="29" t="s">
        <v>2429</v>
      </c>
      <c r="M53" s="27" t="s">
        <v>2430</v>
      </c>
      <c r="N53" s="27" t="s">
        <v>2431</v>
      </c>
      <c r="O53" s="27" t="s">
        <v>367</v>
      </c>
      <c r="P53" s="27" t="s">
        <v>170</v>
      </c>
      <c r="Q53" s="28" t="s">
        <v>2432</v>
      </c>
      <c r="R53" s="28" t="s">
        <v>2433</v>
      </c>
      <c r="S53" s="27" t="s">
        <v>293</v>
      </c>
      <c r="T53" s="28" t="s">
        <v>2434</v>
      </c>
    </row>
    <row r="54" spans="1:20" ht="33.75" x14ac:dyDescent="0.25">
      <c r="A54" s="28" t="s">
        <v>606</v>
      </c>
      <c r="B54" s="28" t="s">
        <v>500</v>
      </c>
      <c r="C54" s="28" t="s">
        <v>605</v>
      </c>
      <c r="D54" s="28" t="s">
        <v>341</v>
      </c>
      <c r="E54" s="27" t="s">
        <v>500</v>
      </c>
      <c r="F54" s="27" t="s">
        <v>168</v>
      </c>
      <c r="G54" s="27" t="s">
        <v>352</v>
      </c>
      <c r="H54" s="27" t="s">
        <v>1671</v>
      </c>
      <c r="I54" s="27" t="s">
        <v>608</v>
      </c>
      <c r="J54" s="27" t="s">
        <v>356</v>
      </c>
      <c r="K54" s="27" t="s">
        <v>361</v>
      </c>
      <c r="L54" s="29" t="s">
        <v>511</v>
      </c>
      <c r="M54" s="27" t="s">
        <v>609</v>
      </c>
      <c r="N54" s="27" t="s">
        <v>610</v>
      </c>
      <c r="O54" s="27" t="s">
        <v>367</v>
      </c>
      <c r="P54" s="27" t="s">
        <v>170</v>
      </c>
      <c r="Q54" s="28" t="s">
        <v>309</v>
      </c>
      <c r="R54" s="28" t="s">
        <v>611</v>
      </c>
      <c r="S54" s="27" t="s">
        <v>293</v>
      </c>
      <c r="T54" s="28" t="s">
        <v>612</v>
      </c>
    </row>
    <row r="55" spans="1:20" ht="90" x14ac:dyDescent="0.25">
      <c r="A55" s="20" t="s">
        <v>1704</v>
      </c>
      <c r="B55" s="20" t="s">
        <v>228</v>
      </c>
      <c r="C55" s="20" t="s">
        <v>1624</v>
      </c>
      <c r="D55" s="20" t="s">
        <v>342</v>
      </c>
      <c r="E55" s="18" t="s">
        <v>228</v>
      </c>
      <c r="F55" s="18" t="s">
        <v>168</v>
      </c>
      <c r="G55" s="18" t="s">
        <v>352</v>
      </c>
      <c r="H55" s="18" t="s">
        <v>1673</v>
      </c>
      <c r="I55" s="18" t="s">
        <v>1705</v>
      </c>
      <c r="J55" s="18" t="s">
        <v>356</v>
      </c>
      <c r="K55" s="18" t="s">
        <v>363</v>
      </c>
      <c r="L55" s="23" t="s">
        <v>1706</v>
      </c>
      <c r="M55" s="18" t="s">
        <v>1707</v>
      </c>
      <c r="N55" s="18" t="s">
        <v>1708</v>
      </c>
      <c r="O55" s="18" t="s">
        <v>366</v>
      </c>
      <c r="P55" s="27" t="s">
        <v>170</v>
      </c>
      <c r="Q55" s="20" t="s">
        <v>1709</v>
      </c>
      <c r="R55" s="20" t="s">
        <v>1710</v>
      </c>
      <c r="S55" s="18" t="s">
        <v>293</v>
      </c>
      <c r="T55" s="20" t="s">
        <v>1711</v>
      </c>
    </row>
    <row r="56" spans="1:20" ht="56.25" customHeight="1" x14ac:dyDescent="0.25">
      <c r="A56" s="28" t="s">
        <v>2328</v>
      </c>
      <c r="B56" s="28" t="s">
        <v>228</v>
      </c>
      <c r="C56" s="28" t="s">
        <v>2442</v>
      </c>
      <c r="D56" s="28" t="s">
        <v>342</v>
      </c>
      <c r="E56" s="27" t="s">
        <v>228</v>
      </c>
      <c r="F56" s="27" t="s">
        <v>348</v>
      </c>
      <c r="G56" s="27" t="s">
        <v>1444</v>
      </c>
      <c r="H56" s="27" t="s">
        <v>1671</v>
      </c>
      <c r="I56" s="27" t="s">
        <v>2443</v>
      </c>
      <c r="J56" s="27" t="s">
        <v>356</v>
      </c>
      <c r="K56" s="27" t="s">
        <v>1341</v>
      </c>
      <c r="L56" s="29" t="s">
        <v>2444</v>
      </c>
      <c r="M56" s="27" t="s">
        <v>2445</v>
      </c>
      <c r="N56" s="27" t="s">
        <v>2446</v>
      </c>
      <c r="O56" s="27" t="s">
        <v>368</v>
      </c>
      <c r="P56" s="27" t="s">
        <v>170</v>
      </c>
      <c r="Q56" s="28" t="s">
        <v>2447</v>
      </c>
      <c r="R56" s="28" t="s">
        <v>2448</v>
      </c>
      <c r="S56" s="27" t="s">
        <v>293</v>
      </c>
      <c r="T56" s="28" t="s">
        <v>2449</v>
      </c>
    </row>
    <row r="57" spans="1:20" ht="90" customHeight="1" x14ac:dyDescent="0.25">
      <c r="A57" s="28" t="s">
        <v>2332</v>
      </c>
      <c r="B57" s="28" t="s">
        <v>451</v>
      </c>
      <c r="C57" s="28" t="s">
        <v>2458</v>
      </c>
      <c r="D57" s="28" t="s">
        <v>343</v>
      </c>
      <c r="E57" s="27" t="s">
        <v>451</v>
      </c>
      <c r="F57" s="27" t="s">
        <v>348</v>
      </c>
      <c r="G57" s="27" t="s">
        <v>1444</v>
      </c>
      <c r="H57" s="27" t="s">
        <v>1654</v>
      </c>
      <c r="I57" s="27" t="s">
        <v>2459</v>
      </c>
      <c r="J57" s="27" t="s">
        <v>357</v>
      </c>
      <c r="K57" s="27" t="s">
        <v>362</v>
      </c>
      <c r="L57" s="29" t="s">
        <v>2460</v>
      </c>
      <c r="M57" s="27" t="s">
        <v>2461</v>
      </c>
      <c r="N57" s="27" t="s">
        <v>2462</v>
      </c>
      <c r="O57" s="27" t="s">
        <v>368</v>
      </c>
      <c r="P57" s="27" t="s">
        <v>170</v>
      </c>
      <c r="Q57" s="28" t="s">
        <v>1934</v>
      </c>
      <c r="R57" s="28" t="s">
        <v>2463</v>
      </c>
      <c r="S57" s="27" t="s">
        <v>293</v>
      </c>
      <c r="T57" s="28" t="s">
        <v>2464</v>
      </c>
    </row>
    <row r="58" spans="1:20" ht="33.75" x14ac:dyDescent="0.25">
      <c r="A58" s="28" t="s">
        <v>449</v>
      </c>
      <c r="B58" s="28" t="s">
        <v>331</v>
      </c>
      <c r="C58" s="28" t="s">
        <v>450</v>
      </c>
      <c r="D58" s="28" t="s">
        <v>343</v>
      </c>
      <c r="E58" s="27" t="s">
        <v>451</v>
      </c>
      <c r="F58" s="27" t="s">
        <v>348</v>
      </c>
      <c r="G58" s="27" t="s">
        <v>352</v>
      </c>
      <c r="H58" s="27" t="s">
        <v>1668</v>
      </c>
      <c r="I58" s="27" t="s">
        <v>452</v>
      </c>
      <c r="J58" s="27" t="s">
        <v>357</v>
      </c>
      <c r="K58" s="27" t="s">
        <v>362</v>
      </c>
      <c r="L58" s="29" t="s">
        <v>453</v>
      </c>
      <c r="M58" s="27" t="s">
        <v>454</v>
      </c>
      <c r="N58" s="27" t="s">
        <v>455</v>
      </c>
      <c r="O58" s="27" t="s">
        <v>366</v>
      </c>
      <c r="P58" s="27" t="s">
        <v>170</v>
      </c>
      <c r="Q58" s="28" t="s">
        <v>456</v>
      </c>
      <c r="R58" s="28" t="s">
        <v>457</v>
      </c>
      <c r="S58" s="27" t="s">
        <v>293</v>
      </c>
      <c r="T58" s="28" t="s">
        <v>458</v>
      </c>
    </row>
    <row r="59" spans="1:20" ht="90" customHeight="1" x14ac:dyDescent="0.25">
      <c r="A59" s="28" t="s">
        <v>738</v>
      </c>
      <c r="B59" s="28" t="s">
        <v>684</v>
      </c>
      <c r="C59" s="28" t="s">
        <v>799</v>
      </c>
      <c r="D59" s="28" t="s">
        <v>341</v>
      </c>
      <c r="E59" s="27" t="s">
        <v>684</v>
      </c>
      <c r="F59" s="27" t="s">
        <v>348</v>
      </c>
      <c r="G59" s="27" t="s">
        <v>352</v>
      </c>
      <c r="H59" s="27" t="s">
        <v>1658</v>
      </c>
      <c r="I59" s="27" t="s">
        <v>800</v>
      </c>
      <c r="J59" s="27" t="s">
        <v>357</v>
      </c>
      <c r="K59" s="27" t="s">
        <v>362</v>
      </c>
      <c r="L59" s="29" t="s">
        <v>801</v>
      </c>
      <c r="M59" s="27" t="s">
        <v>802</v>
      </c>
      <c r="N59" s="27" t="s">
        <v>803</v>
      </c>
      <c r="O59" s="27" t="s">
        <v>366</v>
      </c>
      <c r="P59" s="27" t="s">
        <v>170</v>
      </c>
      <c r="Q59" s="28" t="s">
        <v>804</v>
      </c>
      <c r="R59" s="28" t="s">
        <v>805</v>
      </c>
      <c r="S59" s="27" t="s">
        <v>293</v>
      </c>
      <c r="T59" s="28" t="s">
        <v>806</v>
      </c>
    </row>
    <row r="60" spans="1:20" ht="33.75" customHeight="1" x14ac:dyDescent="0.25">
      <c r="A60" s="28" t="s">
        <v>2331</v>
      </c>
      <c r="B60" s="28" t="s">
        <v>684</v>
      </c>
      <c r="C60" s="28" t="s">
        <v>2465</v>
      </c>
      <c r="D60" s="28" t="s">
        <v>341</v>
      </c>
      <c r="E60" s="27" t="s">
        <v>684</v>
      </c>
      <c r="F60" s="27" t="s">
        <v>348</v>
      </c>
      <c r="G60" s="27" t="s">
        <v>352</v>
      </c>
      <c r="H60" s="27" t="s">
        <v>1658</v>
      </c>
      <c r="I60" s="27" t="s">
        <v>2466</v>
      </c>
      <c r="J60" s="27" t="s">
        <v>357</v>
      </c>
      <c r="K60" s="27" t="s">
        <v>1341</v>
      </c>
      <c r="L60" s="29" t="s">
        <v>2467</v>
      </c>
      <c r="M60" s="27" t="s">
        <v>2468</v>
      </c>
      <c r="N60" s="27" t="s">
        <v>2469</v>
      </c>
      <c r="O60" s="27" t="s">
        <v>368</v>
      </c>
      <c r="P60" s="27" t="s">
        <v>170</v>
      </c>
      <c r="Q60" s="28" t="s">
        <v>2470</v>
      </c>
      <c r="R60" s="28" t="s">
        <v>2471</v>
      </c>
      <c r="S60" s="27" t="s">
        <v>293</v>
      </c>
      <c r="T60" s="28" t="s">
        <v>2472</v>
      </c>
    </row>
    <row r="61" spans="1:20" ht="67.5" customHeight="1" x14ac:dyDescent="0.25">
      <c r="A61" s="28" t="s">
        <v>403</v>
      </c>
      <c r="B61" s="28" t="s">
        <v>284</v>
      </c>
      <c r="C61" s="28" t="s">
        <v>404</v>
      </c>
      <c r="D61" s="28" t="s">
        <v>341</v>
      </c>
      <c r="E61" s="27" t="s">
        <v>284</v>
      </c>
      <c r="F61" s="27" t="s">
        <v>168</v>
      </c>
      <c r="G61" s="27" t="s">
        <v>352</v>
      </c>
      <c r="H61" s="27" t="s">
        <v>1652</v>
      </c>
      <c r="I61" s="27" t="s">
        <v>406</v>
      </c>
      <c r="J61" s="27" t="s">
        <v>356</v>
      </c>
      <c r="K61" s="27" t="s">
        <v>363</v>
      </c>
      <c r="L61" s="29" t="s">
        <v>407</v>
      </c>
      <c r="M61" s="27" t="s">
        <v>408</v>
      </c>
      <c r="N61" s="27" t="s">
        <v>409</v>
      </c>
      <c r="O61" s="27" t="s">
        <v>366</v>
      </c>
      <c r="P61" s="27" t="s">
        <v>170</v>
      </c>
      <c r="Q61" s="28" t="s">
        <v>410</v>
      </c>
      <c r="R61" s="28" t="s">
        <v>405</v>
      </c>
      <c r="S61" s="27" t="s">
        <v>293</v>
      </c>
      <c r="T61" s="28" t="s">
        <v>411</v>
      </c>
    </row>
    <row r="62" spans="1:20" ht="78.75" x14ac:dyDescent="0.25">
      <c r="A62" s="20" t="s">
        <v>2112</v>
      </c>
      <c r="B62" s="20" t="s">
        <v>284</v>
      </c>
      <c r="C62" s="20" t="s">
        <v>2172</v>
      </c>
      <c r="D62" s="20" t="s">
        <v>341</v>
      </c>
      <c r="E62" s="18" t="s">
        <v>284</v>
      </c>
      <c r="F62" s="18" t="s">
        <v>349</v>
      </c>
      <c r="G62" s="18" t="s">
        <v>1758</v>
      </c>
      <c r="H62" s="18" t="s">
        <v>1671</v>
      </c>
      <c r="I62" s="18" t="s">
        <v>2173</v>
      </c>
      <c r="J62" s="18" t="s">
        <v>356</v>
      </c>
      <c r="K62" s="18" t="s">
        <v>1537</v>
      </c>
      <c r="L62" s="23" t="s">
        <v>2174</v>
      </c>
      <c r="M62" s="18" t="s">
        <v>2175</v>
      </c>
      <c r="N62" s="18" t="s">
        <v>2176</v>
      </c>
      <c r="O62" s="18" t="s">
        <v>366</v>
      </c>
      <c r="P62" s="27" t="s">
        <v>170</v>
      </c>
      <c r="Q62" s="20" t="s">
        <v>2177</v>
      </c>
      <c r="R62" s="20" t="s">
        <v>2177</v>
      </c>
      <c r="S62" s="18" t="s">
        <v>293</v>
      </c>
      <c r="T62" s="20" t="s">
        <v>2178</v>
      </c>
    </row>
    <row r="63" spans="1:20" ht="33.75" customHeight="1" x14ac:dyDescent="0.25">
      <c r="A63" s="20" t="s">
        <v>2109</v>
      </c>
      <c r="B63" s="20" t="s">
        <v>2105</v>
      </c>
      <c r="C63" s="20" t="s">
        <v>2167</v>
      </c>
      <c r="D63" s="20" t="s">
        <v>343</v>
      </c>
      <c r="E63" s="18" t="s">
        <v>2105</v>
      </c>
      <c r="F63" s="18" t="s">
        <v>348</v>
      </c>
      <c r="G63" s="18" t="s">
        <v>352</v>
      </c>
      <c r="H63" s="18" t="s">
        <v>2179</v>
      </c>
      <c r="I63" s="18" t="s">
        <v>1734</v>
      </c>
      <c r="J63" s="18" t="s">
        <v>360</v>
      </c>
      <c r="K63" s="18" t="s">
        <v>363</v>
      </c>
      <c r="L63" s="23" t="s">
        <v>2168</v>
      </c>
      <c r="M63" s="18" t="s">
        <v>2169</v>
      </c>
      <c r="N63" s="18" t="s">
        <v>2180</v>
      </c>
      <c r="O63" s="18" t="s">
        <v>366</v>
      </c>
      <c r="P63" s="27" t="s">
        <v>202</v>
      </c>
      <c r="Q63" s="20" t="s">
        <v>2170</v>
      </c>
      <c r="R63" s="20" t="s">
        <v>2171</v>
      </c>
      <c r="S63" s="18" t="s">
        <v>293</v>
      </c>
      <c r="T63" s="20" t="s">
        <v>2181</v>
      </c>
    </row>
    <row r="64" spans="1:20" ht="78.75" x14ac:dyDescent="0.25">
      <c r="A64" s="28" t="s">
        <v>2330</v>
      </c>
      <c r="B64" s="28" t="s">
        <v>1396</v>
      </c>
      <c r="C64" s="28" t="s">
        <v>60</v>
      </c>
      <c r="D64" s="28" t="s">
        <v>341</v>
      </c>
      <c r="E64" s="27" t="s">
        <v>1396</v>
      </c>
      <c r="F64" s="27" t="s">
        <v>348</v>
      </c>
      <c r="G64" s="27" t="s">
        <v>2369</v>
      </c>
      <c r="H64" s="27" t="s">
        <v>1662</v>
      </c>
      <c r="I64" s="27" t="s">
        <v>60</v>
      </c>
      <c r="J64" s="27" t="s">
        <v>360</v>
      </c>
      <c r="K64" s="27" t="s">
        <v>362</v>
      </c>
      <c r="L64" s="29" t="s">
        <v>60</v>
      </c>
      <c r="M64" s="27" t="s">
        <v>2473</v>
      </c>
      <c r="N64" s="27" t="s">
        <v>2474</v>
      </c>
      <c r="O64" s="27" t="s">
        <v>60</v>
      </c>
      <c r="P64" s="27" t="s">
        <v>202</v>
      </c>
      <c r="Q64" s="28" t="s">
        <v>2475</v>
      </c>
      <c r="R64" s="28" t="s">
        <v>2476</v>
      </c>
      <c r="S64" s="27" t="s">
        <v>293</v>
      </c>
      <c r="T64" s="28" t="s">
        <v>2477</v>
      </c>
    </row>
    <row r="65" spans="1:20" ht="33.75" customHeight="1" x14ac:dyDescent="0.25">
      <c r="A65" s="28" t="s">
        <v>467</v>
      </c>
      <c r="B65" s="28" t="s">
        <v>468</v>
      </c>
      <c r="C65" s="28" t="s">
        <v>469</v>
      </c>
      <c r="D65" s="28" t="s">
        <v>341</v>
      </c>
      <c r="E65" s="27" t="s">
        <v>468</v>
      </c>
      <c r="F65" s="27" t="s">
        <v>348</v>
      </c>
      <c r="G65" s="27" t="s">
        <v>352</v>
      </c>
      <c r="H65" s="27" t="s">
        <v>1671</v>
      </c>
      <c r="I65" s="27" t="s">
        <v>470</v>
      </c>
      <c r="J65" s="27" t="s">
        <v>357</v>
      </c>
      <c r="K65" s="27" t="s">
        <v>363</v>
      </c>
      <c r="L65" s="29" t="s">
        <v>373</v>
      </c>
      <c r="M65" s="27" t="s">
        <v>471</v>
      </c>
      <c r="N65" s="27" t="s">
        <v>472</v>
      </c>
      <c r="O65" s="27" t="s">
        <v>366</v>
      </c>
      <c r="P65" s="27" t="s">
        <v>170</v>
      </c>
      <c r="Q65" s="28" t="s">
        <v>473</v>
      </c>
      <c r="R65" s="28" t="s">
        <v>474</v>
      </c>
      <c r="S65" s="27" t="s">
        <v>293</v>
      </c>
      <c r="T65" s="28" t="s">
        <v>475</v>
      </c>
    </row>
    <row r="66" spans="1:20" ht="67.5" customHeight="1" x14ac:dyDescent="0.25">
      <c r="A66" s="20" t="s">
        <v>1949</v>
      </c>
      <c r="B66" s="20" t="s">
        <v>468</v>
      </c>
      <c r="C66" s="20" t="s">
        <v>2190</v>
      </c>
      <c r="D66" s="20" t="s">
        <v>341</v>
      </c>
      <c r="E66" s="18" t="s">
        <v>468</v>
      </c>
      <c r="F66" s="18" t="s">
        <v>348</v>
      </c>
      <c r="G66" s="18" t="s">
        <v>756</v>
      </c>
      <c r="H66" s="18" t="s">
        <v>1673</v>
      </c>
      <c r="I66" s="18" t="s">
        <v>2191</v>
      </c>
      <c r="J66" s="18" t="s">
        <v>356</v>
      </c>
      <c r="K66" s="18" t="s">
        <v>363</v>
      </c>
      <c r="L66" s="23" t="s">
        <v>2192</v>
      </c>
      <c r="M66" s="18" t="s">
        <v>2193</v>
      </c>
      <c r="N66" s="18" t="s">
        <v>2194</v>
      </c>
      <c r="O66" s="18" t="s">
        <v>366</v>
      </c>
      <c r="P66" s="27" t="s">
        <v>170</v>
      </c>
      <c r="Q66" s="20" t="s">
        <v>2195</v>
      </c>
      <c r="R66" s="20" t="s">
        <v>2196</v>
      </c>
      <c r="S66" s="18" t="s">
        <v>293</v>
      </c>
      <c r="T66" s="20" t="s">
        <v>2197</v>
      </c>
    </row>
    <row r="67" spans="1:20" s="25" customFormat="1" ht="90" customHeight="1" x14ac:dyDescent="0.25">
      <c r="A67" s="20" t="s">
        <v>355</v>
      </c>
      <c r="B67" s="20" t="s">
        <v>1638</v>
      </c>
      <c r="C67" s="20" t="s">
        <v>2182</v>
      </c>
      <c r="D67" s="20" t="s">
        <v>341</v>
      </c>
      <c r="E67" s="18" t="s">
        <v>1638</v>
      </c>
      <c r="F67" s="18" t="s">
        <v>168</v>
      </c>
      <c r="G67" s="18" t="s">
        <v>1749</v>
      </c>
      <c r="H67" s="18" t="s">
        <v>1659</v>
      </c>
      <c r="I67" s="18" t="s">
        <v>2183</v>
      </c>
      <c r="J67" s="18" t="s">
        <v>356</v>
      </c>
      <c r="K67" s="18" t="s">
        <v>1537</v>
      </c>
      <c r="L67" s="23" t="s">
        <v>2184</v>
      </c>
      <c r="M67" s="18" t="s">
        <v>2185</v>
      </c>
      <c r="N67" s="18" t="s">
        <v>2186</v>
      </c>
      <c r="O67" s="18" t="s">
        <v>367</v>
      </c>
      <c r="P67" s="27" t="s">
        <v>170</v>
      </c>
      <c r="Q67" s="20" t="s">
        <v>2187</v>
      </c>
      <c r="R67" s="20" t="s">
        <v>2188</v>
      </c>
      <c r="S67" s="18" t="s">
        <v>293</v>
      </c>
      <c r="T67" s="20" t="s">
        <v>2189</v>
      </c>
    </row>
    <row r="68" spans="1:20" s="25" customFormat="1" ht="78.75" x14ac:dyDescent="0.25">
      <c r="A68" s="20" t="s">
        <v>1784</v>
      </c>
      <c r="B68" s="20" t="s">
        <v>1638</v>
      </c>
      <c r="C68" s="20" t="s">
        <v>1637</v>
      </c>
      <c r="D68" s="20" t="s">
        <v>341</v>
      </c>
      <c r="E68" s="18" t="s">
        <v>1638</v>
      </c>
      <c r="F68" s="18" t="s">
        <v>348</v>
      </c>
      <c r="G68" s="18" t="s">
        <v>1767</v>
      </c>
      <c r="H68" s="18" t="s">
        <v>1672</v>
      </c>
      <c r="I68" s="18" t="s">
        <v>1785</v>
      </c>
      <c r="J68" s="18" t="s">
        <v>356</v>
      </c>
      <c r="K68" s="18" t="s">
        <v>363</v>
      </c>
      <c r="L68" s="23" t="s">
        <v>1786</v>
      </c>
      <c r="M68" s="18" t="s">
        <v>1787</v>
      </c>
      <c r="N68" s="18" t="s">
        <v>1788</v>
      </c>
      <c r="O68" s="18" t="s">
        <v>366</v>
      </c>
      <c r="P68" s="27" t="s">
        <v>170</v>
      </c>
      <c r="Q68" s="20" t="s">
        <v>1789</v>
      </c>
      <c r="R68" s="20" t="s">
        <v>1790</v>
      </c>
      <c r="S68" s="18" t="s">
        <v>293</v>
      </c>
      <c r="T68" s="20" t="s">
        <v>1791</v>
      </c>
    </row>
    <row r="69" spans="1:20" ht="45" x14ac:dyDescent="0.25">
      <c r="A69" s="20" t="s">
        <v>1712</v>
      </c>
      <c r="B69" s="20" t="s">
        <v>156</v>
      </c>
      <c r="C69" s="20" t="s">
        <v>1625</v>
      </c>
      <c r="D69" s="20" t="s">
        <v>342</v>
      </c>
      <c r="E69" s="18" t="s">
        <v>156</v>
      </c>
      <c r="F69" s="18" t="s">
        <v>348</v>
      </c>
      <c r="G69" s="18" t="s">
        <v>352</v>
      </c>
      <c r="H69" s="18" t="s">
        <v>1648</v>
      </c>
      <c r="I69" s="18" t="s">
        <v>560</v>
      </c>
      <c r="J69" s="18" t="s">
        <v>355</v>
      </c>
      <c r="K69" s="18" t="s">
        <v>362</v>
      </c>
      <c r="L69" s="23" t="s">
        <v>1713</v>
      </c>
      <c r="M69" s="18" t="s">
        <v>1714</v>
      </c>
      <c r="N69" s="18" t="s">
        <v>1715</v>
      </c>
      <c r="O69" s="18" t="s">
        <v>366</v>
      </c>
      <c r="P69" s="27" t="s">
        <v>170</v>
      </c>
      <c r="Q69" s="20" t="s">
        <v>1716</v>
      </c>
      <c r="R69" s="20" t="s">
        <v>1717</v>
      </c>
      <c r="S69" s="18" t="s">
        <v>293</v>
      </c>
      <c r="T69" s="20" t="s">
        <v>1718</v>
      </c>
    </row>
    <row r="70" spans="1:20" ht="22.5" customHeight="1" x14ac:dyDescent="0.25">
      <c r="A70" s="28" t="s">
        <v>2329</v>
      </c>
      <c r="B70" s="28" t="s">
        <v>156</v>
      </c>
      <c r="C70" s="28" t="s">
        <v>2478</v>
      </c>
      <c r="D70" s="28" t="s">
        <v>342</v>
      </c>
      <c r="E70" s="27" t="s">
        <v>156</v>
      </c>
      <c r="F70" s="27" t="s">
        <v>348</v>
      </c>
      <c r="G70" s="27" t="s">
        <v>1758</v>
      </c>
      <c r="H70" s="27" t="s">
        <v>1650</v>
      </c>
      <c r="I70" s="27" t="s">
        <v>2479</v>
      </c>
      <c r="J70" s="27" t="s">
        <v>356</v>
      </c>
      <c r="K70" s="27" t="s">
        <v>362</v>
      </c>
      <c r="L70" s="29" t="s">
        <v>2480</v>
      </c>
      <c r="M70" s="27" t="s">
        <v>2481</v>
      </c>
      <c r="N70" s="27" t="s">
        <v>2482</v>
      </c>
      <c r="O70" s="27" t="s">
        <v>368</v>
      </c>
      <c r="P70" s="27" t="s">
        <v>170</v>
      </c>
      <c r="Q70" s="28" t="s">
        <v>2483</v>
      </c>
      <c r="R70" s="28" t="s">
        <v>2484</v>
      </c>
      <c r="S70" s="27" t="s">
        <v>293</v>
      </c>
      <c r="T70" s="28" t="s">
        <v>2485</v>
      </c>
    </row>
    <row r="71" spans="1:20" ht="56.25" customHeight="1" x14ac:dyDescent="0.25">
      <c r="A71" s="28"/>
      <c r="B71" s="28" t="s">
        <v>299</v>
      </c>
      <c r="C71" s="28" t="s">
        <v>499</v>
      </c>
      <c r="D71" s="28" t="s">
        <v>342</v>
      </c>
      <c r="E71" s="27" t="s">
        <v>347</v>
      </c>
      <c r="F71" s="27" t="s">
        <v>348</v>
      </c>
      <c r="G71" s="27" t="s">
        <v>352</v>
      </c>
      <c r="H71" s="27" t="s">
        <v>1687</v>
      </c>
      <c r="I71" s="27" t="s">
        <v>502</v>
      </c>
      <c r="J71" s="27" t="s">
        <v>357</v>
      </c>
      <c r="K71" s="27" t="s">
        <v>364</v>
      </c>
      <c r="L71" s="29" t="s">
        <v>373</v>
      </c>
      <c r="M71" s="27" t="s">
        <v>504</v>
      </c>
      <c r="N71" s="27" t="s">
        <v>503</v>
      </c>
      <c r="O71" s="27" t="s">
        <v>366</v>
      </c>
      <c r="P71" s="27" t="s">
        <v>170</v>
      </c>
      <c r="Q71" s="28" t="s">
        <v>505</v>
      </c>
      <c r="R71" s="28" t="s">
        <v>506</v>
      </c>
      <c r="S71" s="27" t="s">
        <v>293</v>
      </c>
      <c r="T71" s="28" t="s">
        <v>507</v>
      </c>
    </row>
    <row r="72" spans="1:20" ht="33.75" customHeight="1" x14ac:dyDescent="0.25">
      <c r="A72" s="28" t="s">
        <v>355</v>
      </c>
      <c r="B72" s="20" t="s">
        <v>829</v>
      </c>
      <c r="C72" s="20" t="s">
        <v>1553</v>
      </c>
      <c r="D72" s="20" t="s">
        <v>341</v>
      </c>
      <c r="E72" s="18" t="s">
        <v>1554</v>
      </c>
      <c r="F72" s="18" t="s">
        <v>348</v>
      </c>
      <c r="G72" s="18" t="s">
        <v>1555</v>
      </c>
      <c r="H72" s="18" t="s">
        <v>1659</v>
      </c>
      <c r="I72" s="18" t="s">
        <v>1556</v>
      </c>
      <c r="J72" s="18" t="s">
        <v>356</v>
      </c>
      <c r="K72" s="18" t="s">
        <v>1537</v>
      </c>
      <c r="L72" s="23" t="s">
        <v>1557</v>
      </c>
      <c r="M72" s="18" t="s">
        <v>1558</v>
      </c>
      <c r="N72" s="18" t="s">
        <v>1559</v>
      </c>
      <c r="O72" s="18" t="s">
        <v>367</v>
      </c>
      <c r="P72" s="27" t="s">
        <v>170</v>
      </c>
      <c r="Q72" s="20" t="s">
        <v>1560</v>
      </c>
      <c r="R72" s="20" t="s">
        <v>1561</v>
      </c>
      <c r="S72" s="18" t="s">
        <v>293</v>
      </c>
      <c r="T72" s="20" t="s">
        <v>1562</v>
      </c>
    </row>
    <row r="73" spans="1:20" ht="67.5" customHeight="1" x14ac:dyDescent="0.25">
      <c r="A73" s="28" t="s">
        <v>402</v>
      </c>
      <c r="B73" s="28" t="s">
        <v>377</v>
      </c>
      <c r="C73" s="28" t="s">
        <v>815</v>
      </c>
      <c r="D73" s="28" t="s">
        <v>341</v>
      </c>
      <c r="E73" s="27" t="s">
        <v>333</v>
      </c>
      <c r="F73" s="27" t="s">
        <v>168</v>
      </c>
      <c r="G73" s="27" t="s">
        <v>352</v>
      </c>
      <c r="H73" s="27" t="s">
        <v>1660</v>
      </c>
      <c r="I73" s="27" t="s">
        <v>396</v>
      </c>
      <c r="J73" s="27" t="s">
        <v>357</v>
      </c>
      <c r="K73" s="27" t="s">
        <v>362</v>
      </c>
      <c r="L73" s="29" t="s">
        <v>373</v>
      </c>
      <c r="M73" s="27" t="s">
        <v>387</v>
      </c>
      <c r="N73" s="27" t="s">
        <v>397</v>
      </c>
      <c r="O73" s="27" t="s">
        <v>366</v>
      </c>
      <c r="P73" s="27" t="s">
        <v>170</v>
      </c>
      <c r="Q73" s="28" t="s">
        <v>398</v>
      </c>
      <c r="R73" s="28" t="s">
        <v>399</v>
      </c>
      <c r="S73" s="27" t="s">
        <v>293</v>
      </c>
      <c r="T73" s="28" t="s">
        <v>400</v>
      </c>
    </row>
    <row r="74" spans="1:20" ht="45" x14ac:dyDescent="0.25">
      <c r="A74" s="28" t="s">
        <v>2333</v>
      </c>
      <c r="B74" s="28" t="s">
        <v>1390</v>
      </c>
      <c r="C74" s="28" t="s">
        <v>60</v>
      </c>
      <c r="D74" s="28" t="s">
        <v>341</v>
      </c>
      <c r="E74" s="27" t="s">
        <v>1390</v>
      </c>
      <c r="F74" s="27" t="s">
        <v>168</v>
      </c>
      <c r="G74" s="27" t="s">
        <v>2275</v>
      </c>
      <c r="H74" s="27" t="s">
        <v>1675</v>
      </c>
      <c r="I74" s="27" t="s">
        <v>2843</v>
      </c>
      <c r="J74" s="27" t="s">
        <v>360</v>
      </c>
      <c r="K74" s="27" t="s">
        <v>362</v>
      </c>
      <c r="L74" s="29" t="s">
        <v>2842</v>
      </c>
      <c r="M74" s="27" t="s">
        <v>2502</v>
      </c>
      <c r="N74" s="27" t="s">
        <v>2841</v>
      </c>
      <c r="O74" s="27" t="s">
        <v>368</v>
      </c>
      <c r="P74" s="27" t="s">
        <v>202</v>
      </c>
      <c r="Q74" s="28" t="s">
        <v>2503</v>
      </c>
      <c r="R74" s="28" t="s">
        <v>2504</v>
      </c>
      <c r="S74" s="27" t="s">
        <v>293</v>
      </c>
      <c r="T74" s="28" t="s">
        <v>2505</v>
      </c>
    </row>
    <row r="75" spans="1:20" ht="33.75" customHeight="1" x14ac:dyDescent="0.25">
      <c r="A75" s="28" t="s">
        <v>350</v>
      </c>
      <c r="B75" s="28" t="s">
        <v>306</v>
      </c>
      <c r="C75" s="28" t="s">
        <v>550</v>
      </c>
      <c r="D75" s="28" t="s">
        <v>342</v>
      </c>
      <c r="E75" s="27" t="s">
        <v>306</v>
      </c>
      <c r="F75" s="27" t="s">
        <v>348</v>
      </c>
      <c r="G75" s="27" t="s">
        <v>352</v>
      </c>
      <c r="H75" s="27" t="s">
        <v>1648</v>
      </c>
      <c r="I75" s="27" t="s">
        <v>551</v>
      </c>
      <c r="J75" s="27" t="s">
        <v>355</v>
      </c>
      <c r="K75" s="27" t="s">
        <v>363</v>
      </c>
      <c r="L75" s="29" t="s">
        <v>552</v>
      </c>
      <c r="M75" s="27" t="s">
        <v>553</v>
      </c>
      <c r="N75" s="27" t="s">
        <v>554</v>
      </c>
      <c r="O75" s="27" t="s">
        <v>366</v>
      </c>
      <c r="P75" s="27" t="s">
        <v>170</v>
      </c>
      <c r="Q75" s="28" t="s">
        <v>555</v>
      </c>
      <c r="R75" s="28" t="s">
        <v>556</v>
      </c>
      <c r="S75" s="27" t="s">
        <v>293</v>
      </c>
      <c r="T75" s="28" t="s">
        <v>557</v>
      </c>
    </row>
    <row r="76" spans="1:20" ht="45" customHeight="1" x14ac:dyDescent="0.25">
      <c r="A76" s="20" t="s">
        <v>2113</v>
      </c>
      <c r="B76" s="20" t="s">
        <v>306</v>
      </c>
      <c r="C76" s="20" t="s">
        <v>2198</v>
      </c>
      <c r="D76" s="20" t="s">
        <v>342</v>
      </c>
      <c r="E76" s="18" t="s">
        <v>306</v>
      </c>
      <c r="F76" s="18" t="s">
        <v>348</v>
      </c>
      <c r="G76" s="18" t="s">
        <v>756</v>
      </c>
      <c r="H76" s="18" t="s">
        <v>1647</v>
      </c>
      <c r="I76" s="18" t="s">
        <v>1720</v>
      </c>
      <c r="J76" s="18" t="s">
        <v>356</v>
      </c>
      <c r="K76" s="18" t="s">
        <v>363</v>
      </c>
      <c r="L76" s="23" t="s">
        <v>2199</v>
      </c>
      <c r="M76" s="18" t="s">
        <v>2200</v>
      </c>
      <c r="N76" s="18" t="s">
        <v>2201</v>
      </c>
      <c r="O76" s="18" t="s">
        <v>366</v>
      </c>
      <c r="P76" s="27" t="s">
        <v>170</v>
      </c>
      <c r="Q76" s="20" t="s">
        <v>2202</v>
      </c>
      <c r="R76" s="20" t="s">
        <v>2203</v>
      </c>
      <c r="S76" s="18" t="s">
        <v>293</v>
      </c>
      <c r="T76" s="20" t="s">
        <v>2204</v>
      </c>
    </row>
    <row r="77" spans="1:20" ht="33.75" x14ac:dyDescent="0.25">
      <c r="A77" s="53" t="s">
        <v>858</v>
      </c>
      <c r="B77" s="20" t="s">
        <v>305</v>
      </c>
      <c r="C77" s="20" t="s">
        <v>859</v>
      </c>
      <c r="D77" s="20" t="s">
        <v>341</v>
      </c>
      <c r="E77" s="18" t="s">
        <v>305</v>
      </c>
      <c r="F77" s="18" t="s">
        <v>168</v>
      </c>
      <c r="G77" s="18" t="s">
        <v>783</v>
      </c>
      <c r="H77" s="18" t="s">
        <v>1660</v>
      </c>
      <c r="I77" s="18" t="s">
        <v>860</v>
      </c>
      <c r="J77" s="18" t="s">
        <v>356</v>
      </c>
      <c r="K77" s="18" t="s">
        <v>363</v>
      </c>
      <c r="L77" s="23" t="s">
        <v>861</v>
      </c>
      <c r="M77" s="18" t="s">
        <v>862</v>
      </c>
      <c r="N77" s="18" t="s">
        <v>863</v>
      </c>
      <c r="O77" s="18" t="s">
        <v>367</v>
      </c>
      <c r="P77" s="27" t="s">
        <v>170</v>
      </c>
      <c r="Q77" s="20" t="s">
        <v>864</v>
      </c>
      <c r="R77" s="20" t="s">
        <v>865</v>
      </c>
      <c r="S77" s="18" t="s">
        <v>293</v>
      </c>
      <c r="T77" s="20" t="s">
        <v>866</v>
      </c>
    </row>
    <row r="78" spans="1:20" ht="33.75" customHeight="1" x14ac:dyDescent="0.25">
      <c r="A78" s="28" t="s">
        <v>542</v>
      </c>
      <c r="B78" s="28" t="s">
        <v>305</v>
      </c>
      <c r="C78" s="28" t="s">
        <v>543</v>
      </c>
      <c r="D78" s="28" t="s">
        <v>341</v>
      </c>
      <c r="E78" s="27" t="s">
        <v>305</v>
      </c>
      <c r="F78" s="27" t="s">
        <v>168</v>
      </c>
      <c r="G78" s="27" t="s">
        <v>352</v>
      </c>
      <c r="H78" s="27" t="s">
        <v>1657</v>
      </c>
      <c r="I78" s="27" t="s">
        <v>544</v>
      </c>
      <c r="J78" s="27" t="s">
        <v>356</v>
      </c>
      <c r="K78" s="27" t="s">
        <v>363</v>
      </c>
      <c r="L78" s="29" t="s">
        <v>373</v>
      </c>
      <c r="M78" s="27" t="s">
        <v>545</v>
      </c>
      <c r="N78" s="27" t="s">
        <v>546</v>
      </c>
      <c r="O78" s="27" t="s">
        <v>366</v>
      </c>
      <c r="P78" s="27" t="s">
        <v>170</v>
      </c>
      <c r="Q78" s="28" t="s">
        <v>547</v>
      </c>
      <c r="R78" s="28" t="s">
        <v>548</v>
      </c>
      <c r="S78" s="27" t="s">
        <v>293</v>
      </c>
      <c r="T78" s="28" t="s">
        <v>549</v>
      </c>
    </row>
    <row r="79" spans="1:20" ht="56.25" x14ac:dyDescent="0.25">
      <c r="A79" s="28" t="s">
        <v>2334</v>
      </c>
      <c r="B79" s="28" t="s">
        <v>305</v>
      </c>
      <c r="C79" s="28" t="s">
        <v>2506</v>
      </c>
      <c r="D79" s="28" t="s">
        <v>341</v>
      </c>
      <c r="E79" s="27" t="s">
        <v>305</v>
      </c>
      <c r="F79" s="27" t="s">
        <v>168</v>
      </c>
      <c r="G79" s="27" t="s">
        <v>783</v>
      </c>
      <c r="H79" s="27" t="s">
        <v>1660</v>
      </c>
      <c r="I79" s="27" t="s">
        <v>2507</v>
      </c>
      <c r="J79" s="27" t="s">
        <v>356</v>
      </c>
      <c r="K79" s="27" t="s">
        <v>363</v>
      </c>
      <c r="L79" s="29" t="s">
        <v>2508</v>
      </c>
      <c r="M79" s="27" t="s">
        <v>2509</v>
      </c>
      <c r="N79" s="27" t="s">
        <v>2510</v>
      </c>
      <c r="O79" s="27" t="s">
        <v>367</v>
      </c>
      <c r="P79" s="27" t="s">
        <v>170</v>
      </c>
      <c r="Q79" s="28" t="s">
        <v>2511</v>
      </c>
      <c r="R79" s="28" t="s">
        <v>2512</v>
      </c>
      <c r="S79" s="27" t="s">
        <v>293</v>
      </c>
      <c r="T79" s="28" t="s">
        <v>2513</v>
      </c>
    </row>
    <row r="80" spans="1:20" s="96" customFormat="1" ht="33.75" customHeight="1" x14ac:dyDescent="0.25">
      <c r="A80" s="28" t="s">
        <v>1978</v>
      </c>
      <c r="B80" s="28" t="s">
        <v>339</v>
      </c>
      <c r="C80" s="28" t="s">
        <v>2631</v>
      </c>
      <c r="D80" s="28" t="s">
        <v>341</v>
      </c>
      <c r="E80" s="27" t="s">
        <v>339</v>
      </c>
      <c r="F80" s="27" t="s">
        <v>348</v>
      </c>
      <c r="G80" s="27" t="s">
        <v>1749</v>
      </c>
      <c r="H80" s="27" t="s">
        <v>1659</v>
      </c>
      <c r="I80" s="27" t="s">
        <v>2632</v>
      </c>
      <c r="J80" s="27" t="s">
        <v>356</v>
      </c>
      <c r="K80" s="27" t="s">
        <v>1537</v>
      </c>
      <c r="L80" s="29" t="s">
        <v>2633</v>
      </c>
      <c r="M80" s="27" t="s">
        <v>2634</v>
      </c>
      <c r="N80" s="27" t="s">
        <v>2635</v>
      </c>
      <c r="O80" s="27" t="s">
        <v>367</v>
      </c>
      <c r="P80" s="27" t="s">
        <v>170</v>
      </c>
      <c r="Q80" s="28" t="s">
        <v>2636</v>
      </c>
      <c r="R80" s="28" t="s">
        <v>2637</v>
      </c>
      <c r="S80" s="27" t="s">
        <v>293</v>
      </c>
      <c r="T80" s="28" t="s">
        <v>2638</v>
      </c>
    </row>
    <row r="81" spans="1:20" s="96" customFormat="1" ht="45" x14ac:dyDescent="0.25">
      <c r="A81" s="28"/>
      <c r="B81" s="28" t="s">
        <v>339</v>
      </c>
      <c r="C81" s="28" t="s">
        <v>670</v>
      </c>
      <c r="D81" s="28" t="s">
        <v>341</v>
      </c>
      <c r="E81" s="27" t="s">
        <v>339</v>
      </c>
      <c r="F81" s="27" t="s">
        <v>348</v>
      </c>
      <c r="G81" s="27" t="s">
        <v>352</v>
      </c>
      <c r="H81" s="27" t="s">
        <v>1685</v>
      </c>
      <c r="I81" s="27" t="s">
        <v>671</v>
      </c>
      <c r="J81" s="27" t="s">
        <v>356</v>
      </c>
      <c r="K81" s="27" t="s">
        <v>361</v>
      </c>
      <c r="L81" s="29" t="s">
        <v>672</v>
      </c>
      <c r="M81" s="27" t="s">
        <v>673</v>
      </c>
      <c r="N81" s="27" t="s">
        <v>674</v>
      </c>
      <c r="O81" s="27" t="s">
        <v>367</v>
      </c>
      <c r="P81" s="27" t="s">
        <v>170</v>
      </c>
      <c r="Q81" s="28" t="s">
        <v>314</v>
      </c>
      <c r="R81" s="28" t="s">
        <v>675</v>
      </c>
      <c r="S81" s="27" t="s">
        <v>293</v>
      </c>
      <c r="T81" s="28" t="s">
        <v>676</v>
      </c>
    </row>
    <row r="82" spans="1:20" s="96" customFormat="1" ht="33.75" customHeight="1" x14ac:dyDescent="0.25">
      <c r="A82" s="28" t="s">
        <v>2336</v>
      </c>
      <c r="B82" s="28" t="s">
        <v>286</v>
      </c>
      <c r="C82" s="28" t="s">
        <v>2514</v>
      </c>
      <c r="D82" s="28" t="s">
        <v>341</v>
      </c>
      <c r="E82" s="27" t="s">
        <v>286</v>
      </c>
      <c r="F82" s="27" t="s">
        <v>168</v>
      </c>
      <c r="G82" s="27" t="s">
        <v>1444</v>
      </c>
      <c r="H82" s="27" t="s">
        <v>1671</v>
      </c>
      <c r="I82" s="27" t="s">
        <v>2515</v>
      </c>
      <c r="J82" s="27" t="s">
        <v>357</v>
      </c>
      <c r="K82" s="27" t="s">
        <v>1341</v>
      </c>
      <c r="L82" s="29" t="s">
        <v>2516</v>
      </c>
      <c r="M82" s="27" t="s">
        <v>2517</v>
      </c>
      <c r="N82" s="27" t="s">
        <v>2518</v>
      </c>
      <c r="O82" s="27" t="s">
        <v>368</v>
      </c>
      <c r="P82" s="27" t="s">
        <v>170</v>
      </c>
      <c r="Q82" s="28" t="s">
        <v>2519</v>
      </c>
      <c r="R82" s="28" t="s">
        <v>2520</v>
      </c>
      <c r="S82" s="27" t="s">
        <v>293</v>
      </c>
      <c r="T82" s="28" t="s">
        <v>2521</v>
      </c>
    </row>
    <row r="83" spans="1:20" s="96" customFormat="1" ht="33.75" customHeight="1" x14ac:dyDescent="0.25">
      <c r="A83" s="20"/>
      <c r="B83" s="20" t="s">
        <v>1740</v>
      </c>
      <c r="C83" s="20" t="s">
        <v>1629</v>
      </c>
      <c r="D83" s="20" t="s">
        <v>343</v>
      </c>
      <c r="E83" s="18" t="s">
        <v>1630</v>
      </c>
      <c r="F83" s="18" t="s">
        <v>348</v>
      </c>
      <c r="G83" s="18" t="s">
        <v>808</v>
      </c>
      <c r="H83" s="18" t="s">
        <v>1649</v>
      </c>
      <c r="I83" s="18" t="s">
        <v>1734</v>
      </c>
      <c r="J83" s="18" t="s">
        <v>356</v>
      </c>
      <c r="K83" s="18" t="s">
        <v>362</v>
      </c>
      <c r="L83" s="23" t="s">
        <v>1735</v>
      </c>
      <c r="M83" s="18" t="s">
        <v>1736</v>
      </c>
      <c r="N83" s="18" t="s">
        <v>1737</v>
      </c>
      <c r="O83" s="18" t="s">
        <v>366</v>
      </c>
      <c r="P83" s="27" t="s">
        <v>170</v>
      </c>
      <c r="Q83" s="20" t="s">
        <v>1628</v>
      </c>
      <c r="R83" s="20" t="s">
        <v>1738</v>
      </c>
      <c r="S83" s="18" t="s">
        <v>293</v>
      </c>
      <c r="T83" s="20" t="s">
        <v>1739</v>
      </c>
    </row>
    <row r="84" spans="1:20" s="96" customFormat="1" ht="56.25" customHeight="1" x14ac:dyDescent="0.25">
      <c r="A84" s="20" t="s">
        <v>355</v>
      </c>
      <c r="B84" s="20" t="s">
        <v>1267</v>
      </c>
      <c r="C84" s="20" t="s">
        <v>2205</v>
      </c>
      <c r="D84" s="20" t="s">
        <v>342</v>
      </c>
      <c r="E84" s="18" t="s">
        <v>1267</v>
      </c>
      <c r="F84" s="18" t="s">
        <v>348</v>
      </c>
      <c r="G84" s="18" t="s">
        <v>756</v>
      </c>
      <c r="H84" s="18" t="s">
        <v>1688</v>
      </c>
      <c r="I84" s="18" t="s">
        <v>2206</v>
      </c>
      <c r="J84" s="18" t="s">
        <v>355</v>
      </c>
      <c r="K84" s="18" t="s">
        <v>361</v>
      </c>
      <c r="L84" s="23" t="s">
        <v>2207</v>
      </c>
      <c r="M84" s="18" t="s">
        <v>2208</v>
      </c>
      <c r="N84" s="18" t="s">
        <v>2209</v>
      </c>
      <c r="O84" s="18" t="s">
        <v>366</v>
      </c>
      <c r="P84" s="27" t="s">
        <v>170</v>
      </c>
      <c r="Q84" s="20" t="s">
        <v>2210</v>
      </c>
      <c r="R84" s="20" t="s">
        <v>2211</v>
      </c>
      <c r="S84" s="18" t="s">
        <v>293</v>
      </c>
      <c r="T84" s="20" t="s">
        <v>2212</v>
      </c>
    </row>
    <row r="85" spans="1:20" s="96" customFormat="1" ht="90" x14ac:dyDescent="0.25">
      <c r="A85" s="20" t="s">
        <v>1799</v>
      </c>
      <c r="B85" s="20" t="s">
        <v>1643</v>
      </c>
      <c r="C85" s="20" t="s">
        <v>1642</v>
      </c>
      <c r="D85" s="20" t="s">
        <v>342</v>
      </c>
      <c r="E85" s="18" t="s">
        <v>1643</v>
      </c>
      <c r="F85" s="18" t="s">
        <v>348</v>
      </c>
      <c r="G85" s="18" t="s">
        <v>1776</v>
      </c>
      <c r="H85" s="18" t="s">
        <v>1687</v>
      </c>
      <c r="I85" s="18" t="s">
        <v>1800</v>
      </c>
      <c r="J85" s="18" t="s">
        <v>357</v>
      </c>
      <c r="K85" s="18" t="s">
        <v>364</v>
      </c>
      <c r="L85" s="23" t="s">
        <v>1801</v>
      </c>
      <c r="M85" s="18" t="s">
        <v>1802</v>
      </c>
      <c r="N85" s="18" t="s">
        <v>1803</v>
      </c>
      <c r="O85" s="18" t="s">
        <v>366</v>
      </c>
      <c r="P85" s="27" t="s">
        <v>170</v>
      </c>
      <c r="Q85" s="20" t="s">
        <v>1804</v>
      </c>
      <c r="R85" s="20" t="s">
        <v>1805</v>
      </c>
      <c r="S85" s="18" t="s">
        <v>293</v>
      </c>
      <c r="T85" s="20" t="s">
        <v>1806</v>
      </c>
    </row>
    <row r="86" spans="1:20" s="96" customFormat="1" ht="33.75" customHeight="1" x14ac:dyDescent="0.25">
      <c r="A86" s="28" t="s">
        <v>2337</v>
      </c>
      <c r="B86" s="28" t="s">
        <v>1643</v>
      </c>
      <c r="C86" s="28" t="s">
        <v>2522</v>
      </c>
      <c r="D86" s="28" t="s">
        <v>342</v>
      </c>
      <c r="E86" s="27" t="s">
        <v>1643</v>
      </c>
      <c r="F86" s="27" t="s">
        <v>348</v>
      </c>
      <c r="G86" s="27" t="s">
        <v>756</v>
      </c>
      <c r="H86" s="27" t="s">
        <v>1651</v>
      </c>
      <c r="I86" s="27" t="s">
        <v>2523</v>
      </c>
      <c r="J86" s="27" t="s">
        <v>357</v>
      </c>
      <c r="K86" s="27" t="s">
        <v>363</v>
      </c>
      <c r="L86" s="29" t="s">
        <v>2524</v>
      </c>
      <c r="M86" s="27" t="s">
        <v>2525</v>
      </c>
      <c r="N86" s="27" t="s">
        <v>2526</v>
      </c>
      <c r="O86" s="27" t="s">
        <v>368</v>
      </c>
      <c r="P86" s="27" t="s">
        <v>170</v>
      </c>
      <c r="Q86" s="28" t="s">
        <v>2527</v>
      </c>
      <c r="R86" s="28" t="s">
        <v>2528</v>
      </c>
      <c r="S86" s="27" t="s">
        <v>293</v>
      </c>
      <c r="T86" s="28" t="s">
        <v>2529</v>
      </c>
    </row>
    <row r="87" spans="1:20" s="96" customFormat="1" ht="22.5" customHeight="1" x14ac:dyDescent="0.25">
      <c r="A87" s="20" t="s">
        <v>2113</v>
      </c>
      <c r="B87" s="20" t="s">
        <v>1623</v>
      </c>
      <c r="C87" s="20" t="s">
        <v>2213</v>
      </c>
      <c r="D87" s="20" t="s">
        <v>342</v>
      </c>
      <c r="E87" s="18" t="s">
        <v>1623</v>
      </c>
      <c r="F87" s="18" t="s">
        <v>168</v>
      </c>
      <c r="G87" s="18" t="s">
        <v>756</v>
      </c>
      <c r="H87" s="18" t="s">
        <v>1650</v>
      </c>
      <c r="I87" s="18" t="s">
        <v>2214</v>
      </c>
      <c r="J87" s="18" t="s">
        <v>356</v>
      </c>
      <c r="K87" s="18" t="s">
        <v>363</v>
      </c>
      <c r="L87" s="23" t="s">
        <v>2215</v>
      </c>
      <c r="M87" s="18" t="s">
        <v>2216</v>
      </c>
      <c r="N87" s="18" t="s">
        <v>2217</v>
      </c>
      <c r="O87" s="18" t="s">
        <v>366</v>
      </c>
      <c r="P87" s="27" t="s">
        <v>170</v>
      </c>
      <c r="Q87" s="20" t="s">
        <v>2218</v>
      </c>
      <c r="R87" s="20" t="s">
        <v>2219</v>
      </c>
      <c r="S87" s="18" t="s">
        <v>293</v>
      </c>
      <c r="T87" s="20" t="s">
        <v>2220</v>
      </c>
    </row>
    <row r="88" spans="1:20" s="96" customFormat="1" ht="78.75" customHeight="1" x14ac:dyDescent="0.25">
      <c r="A88" s="28" t="s">
        <v>355</v>
      </c>
      <c r="B88" s="20" t="s">
        <v>830</v>
      </c>
      <c r="C88" s="20" t="s">
        <v>1563</v>
      </c>
      <c r="D88" s="20" t="s">
        <v>341</v>
      </c>
      <c r="E88" s="18" t="s">
        <v>1554</v>
      </c>
      <c r="F88" s="18" t="s">
        <v>348</v>
      </c>
      <c r="G88" s="18" t="s">
        <v>1555</v>
      </c>
      <c r="H88" s="18" t="s">
        <v>1659</v>
      </c>
      <c r="I88" s="18" t="s">
        <v>1564</v>
      </c>
      <c r="J88" s="18" t="s">
        <v>356</v>
      </c>
      <c r="K88" s="18" t="s">
        <v>361</v>
      </c>
      <c r="L88" s="23" t="s">
        <v>1565</v>
      </c>
      <c r="M88" s="18" t="s">
        <v>1566</v>
      </c>
      <c r="N88" s="18" t="s">
        <v>1567</v>
      </c>
      <c r="O88" s="18" t="s">
        <v>367</v>
      </c>
      <c r="P88" s="27" t="s">
        <v>170</v>
      </c>
      <c r="Q88" s="20" t="s">
        <v>1568</v>
      </c>
      <c r="R88" s="20" t="s">
        <v>1569</v>
      </c>
      <c r="S88" s="18" t="s">
        <v>293</v>
      </c>
      <c r="T88" s="20" t="s">
        <v>1570</v>
      </c>
    </row>
    <row r="89" spans="1:20" s="96" customFormat="1" ht="45" x14ac:dyDescent="0.25">
      <c r="A89" s="28" t="s">
        <v>681</v>
      </c>
      <c r="B89" s="28" t="s">
        <v>298</v>
      </c>
      <c r="C89" s="28" t="s">
        <v>773</v>
      </c>
      <c r="D89" s="28" t="s">
        <v>341</v>
      </c>
      <c r="E89" s="27" t="s">
        <v>298</v>
      </c>
      <c r="F89" s="27" t="s">
        <v>348</v>
      </c>
      <c r="G89" s="27" t="s">
        <v>774</v>
      </c>
      <c r="H89" s="27" t="s">
        <v>1666</v>
      </c>
      <c r="I89" s="27" t="s">
        <v>775</v>
      </c>
      <c r="J89" s="27" t="s">
        <v>357</v>
      </c>
      <c r="K89" s="27" t="s">
        <v>362</v>
      </c>
      <c r="L89" s="29" t="s">
        <v>776</v>
      </c>
      <c r="M89" s="27" t="s">
        <v>777</v>
      </c>
      <c r="N89" s="27" t="s">
        <v>778</v>
      </c>
      <c r="O89" s="27" t="s">
        <v>366</v>
      </c>
      <c r="P89" s="27" t="s">
        <v>170</v>
      </c>
      <c r="Q89" s="28" t="s">
        <v>779</v>
      </c>
      <c r="R89" s="28" t="s">
        <v>780</v>
      </c>
      <c r="S89" s="27" t="s">
        <v>293</v>
      </c>
      <c r="T89" s="28" t="s">
        <v>781</v>
      </c>
    </row>
    <row r="90" spans="1:20" s="96" customFormat="1" ht="123.75" customHeight="1" x14ac:dyDescent="0.25">
      <c r="A90" s="28" t="s">
        <v>2683</v>
      </c>
      <c r="B90" s="28" t="s">
        <v>298</v>
      </c>
      <c r="C90" s="28" t="s">
        <v>2684</v>
      </c>
      <c r="D90" s="28" t="s">
        <v>341</v>
      </c>
      <c r="E90" s="27" t="s">
        <v>298</v>
      </c>
      <c r="F90" s="27" t="s">
        <v>348</v>
      </c>
      <c r="G90" s="27" t="s">
        <v>2369</v>
      </c>
      <c r="H90" s="27" t="s">
        <v>1668</v>
      </c>
      <c r="I90" s="27" t="s">
        <v>2685</v>
      </c>
      <c r="J90" s="27" t="s">
        <v>357</v>
      </c>
      <c r="K90" s="27" t="s">
        <v>1537</v>
      </c>
      <c r="L90" s="29" t="s">
        <v>2686</v>
      </c>
      <c r="M90" s="27" t="s">
        <v>2687</v>
      </c>
      <c r="N90" s="27" t="s">
        <v>2688</v>
      </c>
      <c r="O90" s="27" t="s">
        <v>368</v>
      </c>
      <c r="P90" s="27" t="s">
        <v>170</v>
      </c>
      <c r="Q90" s="28" t="s">
        <v>2689</v>
      </c>
      <c r="R90" s="28" t="s">
        <v>2690</v>
      </c>
      <c r="S90" s="27" t="s">
        <v>293</v>
      </c>
      <c r="T90" s="28" t="s">
        <v>2691</v>
      </c>
    </row>
    <row r="91" spans="1:20" s="96" customFormat="1" ht="33.75" x14ac:dyDescent="0.25">
      <c r="A91" s="28" t="s">
        <v>490</v>
      </c>
      <c r="B91" s="28" t="s">
        <v>298</v>
      </c>
      <c r="C91" s="28" t="s">
        <v>491</v>
      </c>
      <c r="D91" s="28" t="s">
        <v>341</v>
      </c>
      <c r="E91" s="27" t="s">
        <v>298</v>
      </c>
      <c r="F91" s="27" t="s">
        <v>348</v>
      </c>
      <c r="G91" s="27" t="s">
        <v>352</v>
      </c>
      <c r="H91" s="27" t="s">
        <v>1657</v>
      </c>
      <c r="I91" s="27" t="s">
        <v>492</v>
      </c>
      <c r="J91" s="27" t="s">
        <v>357</v>
      </c>
      <c r="K91" s="27" t="s">
        <v>361</v>
      </c>
      <c r="L91" s="29" t="s">
        <v>493</v>
      </c>
      <c r="M91" s="27" t="s">
        <v>494</v>
      </c>
      <c r="N91" s="27" t="s">
        <v>495</v>
      </c>
      <c r="O91" s="27" t="s">
        <v>366</v>
      </c>
      <c r="P91" s="27" t="s">
        <v>170</v>
      </c>
      <c r="Q91" s="28" t="s">
        <v>496</v>
      </c>
      <c r="R91" s="28" t="s">
        <v>497</v>
      </c>
      <c r="S91" s="27" t="s">
        <v>293</v>
      </c>
      <c r="T91" s="28" t="s">
        <v>498</v>
      </c>
    </row>
    <row r="92" spans="1:20" s="96" customFormat="1" ht="56.25" x14ac:dyDescent="0.25">
      <c r="A92" s="20" t="s">
        <v>1571</v>
      </c>
      <c r="B92" s="20" t="s">
        <v>831</v>
      </c>
      <c r="C92" s="20" t="s">
        <v>1572</v>
      </c>
      <c r="D92" s="20" t="s">
        <v>341</v>
      </c>
      <c r="E92" s="18" t="s">
        <v>1554</v>
      </c>
      <c r="F92" s="18" t="s">
        <v>348</v>
      </c>
      <c r="G92" s="18" t="s">
        <v>1555</v>
      </c>
      <c r="H92" s="18" t="s">
        <v>1659</v>
      </c>
      <c r="I92" s="18" t="s">
        <v>1573</v>
      </c>
      <c r="J92" s="18" t="s">
        <v>356</v>
      </c>
      <c r="K92" s="18" t="s">
        <v>361</v>
      </c>
      <c r="L92" s="23" t="s">
        <v>1574</v>
      </c>
      <c r="M92" s="18" t="s">
        <v>1575</v>
      </c>
      <c r="N92" s="18" t="s">
        <v>1576</v>
      </c>
      <c r="O92" s="18" t="s">
        <v>367</v>
      </c>
      <c r="P92" s="27" t="s">
        <v>170</v>
      </c>
      <c r="Q92" s="20" t="s">
        <v>1577</v>
      </c>
      <c r="R92" s="20" t="s">
        <v>1578</v>
      </c>
      <c r="S92" s="18" t="s">
        <v>293</v>
      </c>
      <c r="T92" s="20" t="s">
        <v>1579</v>
      </c>
    </row>
    <row r="93" spans="1:20" s="96" customFormat="1" ht="45" x14ac:dyDescent="0.25">
      <c r="A93" s="28" t="s">
        <v>2323</v>
      </c>
      <c r="B93" s="28" t="s">
        <v>2326</v>
      </c>
      <c r="C93" s="28" t="s">
        <v>2530</v>
      </c>
      <c r="D93" s="28" t="s">
        <v>341</v>
      </c>
      <c r="E93" s="27" t="s">
        <v>576</v>
      </c>
      <c r="F93" s="27" t="s">
        <v>168</v>
      </c>
      <c r="G93" s="27" t="s">
        <v>1444</v>
      </c>
      <c r="H93" s="27" t="s">
        <v>1681</v>
      </c>
      <c r="I93" s="27" t="s">
        <v>2531</v>
      </c>
      <c r="J93" s="27" t="s">
        <v>355</v>
      </c>
      <c r="K93" s="27" t="s">
        <v>1341</v>
      </c>
      <c r="L93" s="29" t="s">
        <v>2532</v>
      </c>
      <c r="M93" s="27" t="s">
        <v>2533</v>
      </c>
      <c r="N93" s="27" t="s">
        <v>2534</v>
      </c>
      <c r="O93" s="27" t="s">
        <v>368</v>
      </c>
      <c r="P93" s="27" t="s">
        <v>170</v>
      </c>
      <c r="Q93" s="28" t="s">
        <v>2535</v>
      </c>
      <c r="R93" s="28" t="s">
        <v>2536</v>
      </c>
      <c r="S93" s="27" t="s">
        <v>293</v>
      </c>
      <c r="T93" s="28" t="s">
        <v>2537</v>
      </c>
    </row>
    <row r="94" spans="1:20" s="96" customFormat="1" ht="33.75" customHeight="1" x14ac:dyDescent="0.25">
      <c r="A94" s="28" t="s">
        <v>2339</v>
      </c>
      <c r="B94" s="28" t="s">
        <v>501</v>
      </c>
      <c r="C94" s="28" t="s">
        <v>2538</v>
      </c>
      <c r="D94" s="28" t="s">
        <v>341</v>
      </c>
      <c r="E94" s="27" t="s">
        <v>501</v>
      </c>
      <c r="F94" s="27" t="s">
        <v>348</v>
      </c>
      <c r="G94" s="27" t="s">
        <v>756</v>
      </c>
      <c r="H94" s="27" t="s">
        <v>1674</v>
      </c>
      <c r="I94" s="27" t="s">
        <v>2539</v>
      </c>
      <c r="J94" s="27" t="s">
        <v>356</v>
      </c>
      <c r="K94" s="27" t="s">
        <v>1537</v>
      </c>
      <c r="L94" s="29" t="s">
        <v>2540</v>
      </c>
      <c r="M94" s="27" t="s">
        <v>2541</v>
      </c>
      <c r="N94" s="27" t="s">
        <v>2542</v>
      </c>
      <c r="O94" s="27" t="s">
        <v>368</v>
      </c>
      <c r="P94" s="27" t="s">
        <v>170</v>
      </c>
      <c r="Q94" s="28" t="s">
        <v>2543</v>
      </c>
      <c r="R94" s="28" t="s">
        <v>2544</v>
      </c>
      <c r="S94" s="27" t="s">
        <v>293</v>
      </c>
      <c r="T94" s="28" t="s">
        <v>2545</v>
      </c>
    </row>
    <row r="95" spans="1:20" s="96" customFormat="1" ht="33.75" customHeight="1" x14ac:dyDescent="0.25">
      <c r="A95" s="20" t="s">
        <v>2114</v>
      </c>
      <c r="B95" s="20" t="s">
        <v>62</v>
      </c>
      <c r="C95" s="20" t="s">
        <v>2221</v>
      </c>
      <c r="D95" s="20" t="s">
        <v>341</v>
      </c>
      <c r="E95" s="18" t="s">
        <v>62</v>
      </c>
      <c r="F95" s="18" t="s">
        <v>349</v>
      </c>
      <c r="G95" s="18" t="s">
        <v>352</v>
      </c>
      <c r="H95" s="18" t="s">
        <v>1658</v>
      </c>
      <c r="I95" s="18" t="s">
        <v>2222</v>
      </c>
      <c r="J95" s="18" t="s">
        <v>357</v>
      </c>
      <c r="K95" s="18" t="s">
        <v>1341</v>
      </c>
      <c r="L95" s="23" t="s">
        <v>2223</v>
      </c>
      <c r="M95" s="18" t="s">
        <v>2224</v>
      </c>
      <c r="N95" s="18" t="s">
        <v>2225</v>
      </c>
      <c r="O95" s="18" t="s">
        <v>366</v>
      </c>
      <c r="P95" s="27" t="s">
        <v>170</v>
      </c>
      <c r="Q95" s="20" t="s">
        <v>2226</v>
      </c>
      <c r="R95" s="20" t="s">
        <v>2227</v>
      </c>
      <c r="S95" s="18" t="s">
        <v>293</v>
      </c>
      <c r="T95" s="20" t="s">
        <v>2228</v>
      </c>
    </row>
    <row r="96" spans="1:20" s="96" customFormat="1" ht="90" x14ac:dyDescent="0.25">
      <c r="A96" s="20" t="s">
        <v>1334</v>
      </c>
      <c r="B96" s="20" t="s">
        <v>68</v>
      </c>
      <c r="C96" s="20" t="s">
        <v>2229</v>
      </c>
      <c r="D96" s="20" t="s">
        <v>341</v>
      </c>
      <c r="E96" s="18" t="s">
        <v>68</v>
      </c>
      <c r="F96" s="18" t="s">
        <v>348</v>
      </c>
      <c r="G96" s="18" t="s">
        <v>756</v>
      </c>
      <c r="H96" s="18" t="s">
        <v>1674</v>
      </c>
      <c r="I96" s="18" t="s">
        <v>2230</v>
      </c>
      <c r="J96" s="18" t="s">
        <v>356</v>
      </c>
      <c r="K96" s="18" t="s">
        <v>1537</v>
      </c>
      <c r="L96" s="23" t="s">
        <v>2231</v>
      </c>
      <c r="M96" s="18" t="s">
        <v>2232</v>
      </c>
      <c r="N96" s="18" t="s">
        <v>2233</v>
      </c>
      <c r="O96" s="18" t="s">
        <v>366</v>
      </c>
      <c r="P96" s="27" t="s">
        <v>170</v>
      </c>
      <c r="Q96" s="20" t="s">
        <v>2234</v>
      </c>
      <c r="R96" s="20" t="s">
        <v>2235</v>
      </c>
      <c r="S96" s="18" t="s">
        <v>293</v>
      </c>
      <c r="T96" s="20" t="s">
        <v>2236</v>
      </c>
    </row>
    <row r="97" spans="1:20" s="96" customFormat="1" ht="78.75" x14ac:dyDescent="0.25">
      <c r="A97" s="20" t="s">
        <v>2115</v>
      </c>
      <c r="B97" s="20" t="s">
        <v>54</v>
      </c>
      <c r="C97" s="20" t="s">
        <v>2237</v>
      </c>
      <c r="D97" s="20" t="s">
        <v>341</v>
      </c>
      <c r="E97" s="18" t="s">
        <v>54</v>
      </c>
      <c r="F97" s="18" t="s">
        <v>168</v>
      </c>
      <c r="G97" s="18" t="s">
        <v>756</v>
      </c>
      <c r="H97" s="18" t="s">
        <v>1687</v>
      </c>
      <c r="I97" s="18" t="s">
        <v>2238</v>
      </c>
      <c r="J97" s="18" t="s">
        <v>356</v>
      </c>
      <c r="K97" s="18" t="s">
        <v>363</v>
      </c>
      <c r="L97" s="23" t="s">
        <v>2239</v>
      </c>
      <c r="M97" s="18" t="s">
        <v>2240</v>
      </c>
      <c r="N97" s="18" t="s">
        <v>2241</v>
      </c>
      <c r="O97" s="18" t="s">
        <v>366</v>
      </c>
      <c r="P97" s="27" t="s">
        <v>170</v>
      </c>
      <c r="Q97" s="20" t="s">
        <v>2242</v>
      </c>
      <c r="R97" s="20" t="s">
        <v>2243</v>
      </c>
      <c r="S97" s="18" t="s">
        <v>293</v>
      </c>
      <c r="T97" s="20" t="s">
        <v>2244</v>
      </c>
    </row>
    <row r="98" spans="1:20" s="96" customFormat="1" ht="45" x14ac:dyDescent="0.25">
      <c r="A98" s="28" t="s">
        <v>825</v>
      </c>
      <c r="B98" s="28" t="s">
        <v>54</v>
      </c>
      <c r="C98" s="28" t="s">
        <v>382</v>
      </c>
      <c r="D98" s="28" t="s">
        <v>341</v>
      </c>
      <c r="E98" s="27" t="s">
        <v>54</v>
      </c>
      <c r="F98" s="27" t="s">
        <v>168</v>
      </c>
      <c r="G98" s="27" t="s">
        <v>352</v>
      </c>
      <c r="H98" s="27" t="s">
        <v>1653</v>
      </c>
      <c r="I98" s="27" t="s">
        <v>433</v>
      </c>
      <c r="J98" s="27" t="s">
        <v>355</v>
      </c>
      <c r="K98" s="27" t="s">
        <v>362</v>
      </c>
      <c r="L98" s="29" t="s">
        <v>723</v>
      </c>
      <c r="M98" s="27" t="s">
        <v>724</v>
      </c>
      <c r="N98" s="27" t="s">
        <v>725</v>
      </c>
      <c r="O98" s="27" t="s">
        <v>366</v>
      </c>
      <c r="P98" s="27" t="s">
        <v>170</v>
      </c>
      <c r="Q98" s="28" t="s">
        <v>726</v>
      </c>
      <c r="R98" s="28" t="s">
        <v>727</v>
      </c>
      <c r="S98" s="27" t="s">
        <v>293</v>
      </c>
      <c r="T98" s="28" t="s">
        <v>728</v>
      </c>
    </row>
    <row r="99" spans="1:20" s="96" customFormat="1" ht="101.25" customHeight="1" x14ac:dyDescent="0.25">
      <c r="A99" s="28" t="s">
        <v>607</v>
      </c>
      <c r="B99" s="28" t="s">
        <v>54</v>
      </c>
      <c r="C99" s="28" t="s">
        <v>621</v>
      </c>
      <c r="D99" s="28" t="s">
        <v>341</v>
      </c>
      <c r="E99" s="27" t="s">
        <v>54</v>
      </c>
      <c r="F99" s="27" t="s">
        <v>168</v>
      </c>
      <c r="G99" s="27" t="s">
        <v>352</v>
      </c>
      <c r="H99" s="27" t="s">
        <v>1662</v>
      </c>
      <c r="I99" s="27" t="s">
        <v>622</v>
      </c>
      <c r="J99" s="27" t="s">
        <v>355</v>
      </c>
      <c r="K99" s="27" t="s">
        <v>363</v>
      </c>
      <c r="L99" s="29" t="s">
        <v>373</v>
      </c>
      <c r="M99" s="27" t="s">
        <v>623</v>
      </c>
      <c r="N99" s="27" t="s">
        <v>624</v>
      </c>
      <c r="O99" s="27" t="s">
        <v>366</v>
      </c>
      <c r="P99" s="27" t="s">
        <v>170</v>
      </c>
      <c r="Q99" s="28" t="s">
        <v>310</v>
      </c>
      <c r="R99" s="28" t="s">
        <v>625</v>
      </c>
      <c r="S99" s="27" t="s">
        <v>293</v>
      </c>
      <c r="T99" s="28" t="s">
        <v>626</v>
      </c>
    </row>
    <row r="100" spans="1:20" s="96" customFormat="1" ht="56.25" x14ac:dyDescent="0.25">
      <c r="A100" s="28" t="s">
        <v>2552</v>
      </c>
      <c r="B100" s="28" t="s">
        <v>1901</v>
      </c>
      <c r="C100" s="28" t="s">
        <v>2553</v>
      </c>
      <c r="D100" s="28" t="s">
        <v>341</v>
      </c>
      <c r="E100" s="27" t="s">
        <v>1901</v>
      </c>
      <c r="F100" s="27" t="s">
        <v>348</v>
      </c>
      <c r="G100" s="27" t="s">
        <v>352</v>
      </c>
      <c r="H100" s="27" t="s">
        <v>1658</v>
      </c>
      <c r="I100" s="27" t="s">
        <v>671</v>
      </c>
      <c r="J100" s="27" t="s">
        <v>357</v>
      </c>
      <c r="K100" s="27" t="s">
        <v>362</v>
      </c>
      <c r="L100" s="29" t="s">
        <v>2554</v>
      </c>
      <c r="M100" s="27" t="s">
        <v>2555</v>
      </c>
      <c r="N100" s="27" t="s">
        <v>2556</v>
      </c>
      <c r="O100" s="27" t="s">
        <v>368</v>
      </c>
      <c r="P100" s="27" t="s">
        <v>170</v>
      </c>
      <c r="Q100" s="28" t="s">
        <v>2557</v>
      </c>
      <c r="R100" s="28" t="s">
        <v>2558</v>
      </c>
      <c r="S100" s="27" t="s">
        <v>293</v>
      </c>
      <c r="T100" s="28" t="s">
        <v>2559</v>
      </c>
    </row>
    <row r="101" spans="1:20" s="96" customFormat="1" ht="33.75" customHeight="1" x14ac:dyDescent="0.25">
      <c r="A101" s="28" t="s">
        <v>2338</v>
      </c>
      <c r="B101" s="28" t="s">
        <v>1415</v>
      </c>
      <c r="C101" s="28" t="s">
        <v>60</v>
      </c>
      <c r="D101" s="28" t="s">
        <v>341</v>
      </c>
      <c r="E101" s="27" t="s">
        <v>1415</v>
      </c>
      <c r="F101" s="27" t="s">
        <v>348</v>
      </c>
      <c r="G101" s="27" t="s">
        <v>2369</v>
      </c>
      <c r="H101" s="27" t="s">
        <v>1685</v>
      </c>
      <c r="I101" s="27" t="s">
        <v>60</v>
      </c>
      <c r="J101" s="27" t="s">
        <v>360</v>
      </c>
      <c r="K101" s="27" t="s">
        <v>362</v>
      </c>
      <c r="L101" s="29" t="s">
        <v>60</v>
      </c>
      <c r="M101" s="27" t="s">
        <v>2560</v>
      </c>
      <c r="N101" s="27" t="s">
        <v>2561</v>
      </c>
      <c r="O101" s="27" t="s">
        <v>60</v>
      </c>
      <c r="P101" s="27" t="s">
        <v>202</v>
      </c>
      <c r="Q101" s="28" t="s">
        <v>2562</v>
      </c>
      <c r="R101" s="28" t="s">
        <v>2563</v>
      </c>
      <c r="S101" s="27" t="s">
        <v>293</v>
      </c>
      <c r="T101" s="28" t="s">
        <v>2564</v>
      </c>
    </row>
    <row r="102" spans="1:20" s="96" customFormat="1" ht="22.5" x14ac:dyDescent="0.25">
      <c r="A102" s="28" t="s">
        <v>403</v>
      </c>
      <c r="B102" s="28" t="s">
        <v>300</v>
      </c>
      <c r="C102" s="28" t="s">
        <v>508</v>
      </c>
      <c r="D102" s="28" t="s">
        <v>341</v>
      </c>
      <c r="E102" s="27" t="s">
        <v>509</v>
      </c>
      <c r="F102" s="27" t="s">
        <v>168</v>
      </c>
      <c r="G102" s="27" t="s">
        <v>352</v>
      </c>
      <c r="H102" s="27" t="s">
        <v>1680</v>
      </c>
      <c r="I102" s="27" t="s">
        <v>510</v>
      </c>
      <c r="J102" s="27" t="s">
        <v>356</v>
      </c>
      <c r="K102" s="27" t="s">
        <v>361</v>
      </c>
      <c r="L102" s="29" t="s">
        <v>511</v>
      </c>
      <c r="M102" s="27" t="s">
        <v>512</v>
      </c>
      <c r="N102" s="27" t="s">
        <v>513</v>
      </c>
      <c r="O102" s="27" t="s">
        <v>367</v>
      </c>
      <c r="P102" s="27" t="s">
        <v>170</v>
      </c>
      <c r="Q102" s="28" t="s">
        <v>514</v>
      </c>
      <c r="R102" s="28" t="s">
        <v>515</v>
      </c>
      <c r="S102" s="27" t="s">
        <v>293</v>
      </c>
      <c r="T102" s="28" t="s">
        <v>516</v>
      </c>
    </row>
    <row r="103" spans="1:20" s="96" customFormat="1" ht="33.75" customHeight="1" x14ac:dyDescent="0.25">
      <c r="A103" s="28" t="s">
        <v>2340</v>
      </c>
      <c r="B103" s="28" t="s">
        <v>1332</v>
      </c>
      <c r="C103" s="28" t="s">
        <v>2565</v>
      </c>
      <c r="D103" s="28" t="s">
        <v>341</v>
      </c>
      <c r="E103" s="27" t="s">
        <v>1332</v>
      </c>
      <c r="F103" s="27" t="s">
        <v>168</v>
      </c>
      <c r="G103" s="27" t="s">
        <v>2566</v>
      </c>
      <c r="H103" s="27" t="s">
        <v>1676</v>
      </c>
      <c r="I103" s="27" t="s">
        <v>2567</v>
      </c>
      <c r="J103" s="27" t="s">
        <v>355</v>
      </c>
      <c r="K103" s="27" t="s">
        <v>363</v>
      </c>
      <c r="L103" s="29" t="s">
        <v>2568</v>
      </c>
      <c r="M103" s="27" t="s">
        <v>2569</v>
      </c>
      <c r="N103" s="27" t="s">
        <v>2570</v>
      </c>
      <c r="O103" s="27" t="s">
        <v>368</v>
      </c>
      <c r="P103" s="27" t="s">
        <v>170</v>
      </c>
      <c r="Q103" s="28" t="s">
        <v>2571</v>
      </c>
      <c r="R103" s="28" t="s">
        <v>2572</v>
      </c>
      <c r="S103" s="27" t="s">
        <v>293</v>
      </c>
      <c r="T103" s="28" t="s">
        <v>2573</v>
      </c>
    </row>
    <row r="104" spans="1:20" s="96" customFormat="1" ht="22.5" customHeight="1" x14ac:dyDescent="0.25">
      <c r="A104" s="20" t="s">
        <v>1664</v>
      </c>
      <c r="B104" s="20" t="s">
        <v>1332</v>
      </c>
      <c r="C104" s="20" t="s">
        <v>1627</v>
      </c>
      <c r="D104" s="20" t="s">
        <v>341</v>
      </c>
      <c r="E104" s="18" t="s">
        <v>1332</v>
      </c>
      <c r="F104" s="18" t="s">
        <v>348</v>
      </c>
      <c r="G104" s="18" t="s">
        <v>352</v>
      </c>
      <c r="H104" s="18" t="s">
        <v>1664</v>
      </c>
      <c r="I104" s="18" t="s">
        <v>1727</v>
      </c>
      <c r="J104" s="18" t="s">
        <v>356</v>
      </c>
      <c r="K104" s="18" t="s">
        <v>1341</v>
      </c>
      <c r="L104" s="23" t="s">
        <v>1728</v>
      </c>
      <c r="M104" s="18" t="s">
        <v>1729</v>
      </c>
      <c r="N104" s="18" t="s">
        <v>1730</v>
      </c>
      <c r="O104" s="18" t="s">
        <v>366</v>
      </c>
      <c r="P104" s="27" t="s">
        <v>170</v>
      </c>
      <c r="Q104" s="20" t="s">
        <v>1731</v>
      </c>
      <c r="R104" s="20" t="s">
        <v>1732</v>
      </c>
      <c r="S104" s="18" t="s">
        <v>293</v>
      </c>
      <c r="T104" s="20" t="s">
        <v>1733</v>
      </c>
    </row>
    <row r="105" spans="1:20" s="96" customFormat="1" ht="56.25" customHeight="1" x14ac:dyDescent="0.25">
      <c r="A105" s="20" t="s">
        <v>1766</v>
      </c>
      <c r="B105" s="20" t="s">
        <v>1332</v>
      </c>
      <c r="C105" s="20" t="s">
        <v>1635</v>
      </c>
      <c r="D105" s="20" t="s">
        <v>341</v>
      </c>
      <c r="E105" s="18" t="s">
        <v>1332</v>
      </c>
      <c r="F105" s="18" t="s">
        <v>349</v>
      </c>
      <c r="G105" s="18" t="s">
        <v>1767</v>
      </c>
      <c r="H105" s="18" t="s">
        <v>1670</v>
      </c>
      <c r="I105" s="18" t="s">
        <v>1768</v>
      </c>
      <c r="J105" s="18" t="s">
        <v>356</v>
      </c>
      <c r="K105" s="18" t="s">
        <v>363</v>
      </c>
      <c r="L105" s="23" t="s">
        <v>1769</v>
      </c>
      <c r="M105" s="18" t="s">
        <v>1770</v>
      </c>
      <c r="N105" s="18" t="s">
        <v>1771</v>
      </c>
      <c r="O105" s="18" t="s">
        <v>366</v>
      </c>
      <c r="P105" s="27" t="s">
        <v>170</v>
      </c>
      <c r="Q105" s="20" t="s">
        <v>1772</v>
      </c>
      <c r="R105" s="20" t="s">
        <v>1773</v>
      </c>
      <c r="S105" s="18" t="s">
        <v>293</v>
      </c>
      <c r="T105" s="20" t="s">
        <v>1774</v>
      </c>
    </row>
    <row r="106" spans="1:20" s="96" customFormat="1" ht="22.5" x14ac:dyDescent="0.25">
      <c r="A106" s="28" t="s">
        <v>422</v>
      </c>
      <c r="B106" s="28" t="s">
        <v>294</v>
      </c>
      <c r="C106" s="28" t="s">
        <v>816</v>
      </c>
      <c r="D106" s="28" t="s">
        <v>341</v>
      </c>
      <c r="E106" s="27" t="s">
        <v>294</v>
      </c>
      <c r="F106" s="27" t="s">
        <v>348</v>
      </c>
      <c r="G106" s="27" t="s">
        <v>352</v>
      </c>
      <c r="H106" s="27" t="s">
        <v>1666</v>
      </c>
      <c r="I106" s="27" t="s">
        <v>423</v>
      </c>
      <c r="J106" s="27" t="s">
        <v>356</v>
      </c>
      <c r="K106" s="27" t="s">
        <v>362</v>
      </c>
      <c r="L106" s="29" t="s">
        <v>424</v>
      </c>
      <c r="M106" s="27" t="s">
        <v>425</v>
      </c>
      <c r="N106" s="27" t="s">
        <v>427</v>
      </c>
      <c r="O106" s="27" t="s">
        <v>367</v>
      </c>
      <c r="P106" s="27" t="s">
        <v>170</v>
      </c>
      <c r="Q106" s="28" t="s">
        <v>428</v>
      </c>
      <c r="R106" s="28" t="s">
        <v>429</v>
      </c>
      <c r="S106" s="27" t="s">
        <v>293</v>
      </c>
      <c r="T106" s="28" t="s">
        <v>430</v>
      </c>
    </row>
    <row r="107" spans="1:20" s="25" customFormat="1" ht="56.25" x14ac:dyDescent="0.25">
      <c r="A107" s="28" t="s">
        <v>2341</v>
      </c>
      <c r="B107" s="28" t="s">
        <v>294</v>
      </c>
      <c r="C107" s="28" t="s">
        <v>2574</v>
      </c>
      <c r="D107" s="28" t="s">
        <v>341</v>
      </c>
      <c r="E107" s="27" t="s">
        <v>294</v>
      </c>
      <c r="F107" s="27" t="s">
        <v>348</v>
      </c>
      <c r="G107" s="27" t="s">
        <v>783</v>
      </c>
      <c r="H107" s="27" t="s">
        <v>1676</v>
      </c>
      <c r="I107" s="27" t="s">
        <v>2575</v>
      </c>
      <c r="J107" s="27" t="s">
        <v>356</v>
      </c>
      <c r="K107" s="27" t="s">
        <v>1537</v>
      </c>
      <c r="L107" s="27" t="s">
        <v>2576</v>
      </c>
      <c r="M107" s="27" t="s">
        <v>2577</v>
      </c>
      <c r="N107" s="27" t="s">
        <v>2578</v>
      </c>
      <c r="O107" s="27" t="s">
        <v>367</v>
      </c>
      <c r="P107" s="27" t="s">
        <v>170</v>
      </c>
      <c r="Q107" s="28" t="s">
        <v>2579</v>
      </c>
      <c r="R107" s="28" t="s">
        <v>2580</v>
      </c>
      <c r="S107" s="27" t="s">
        <v>293</v>
      </c>
      <c r="T107" s="28" t="s">
        <v>2581</v>
      </c>
    </row>
    <row r="108" spans="1:20" s="25" customFormat="1" ht="56.25" x14ac:dyDescent="0.25">
      <c r="A108" s="20" t="s">
        <v>606</v>
      </c>
      <c r="B108" s="20" t="s">
        <v>828</v>
      </c>
      <c r="C108" s="20" t="s">
        <v>1580</v>
      </c>
      <c r="D108" s="28" t="s">
        <v>341</v>
      </c>
      <c r="E108" s="18" t="s">
        <v>1554</v>
      </c>
      <c r="F108" s="18" t="s">
        <v>348</v>
      </c>
      <c r="G108" s="18" t="s">
        <v>1555</v>
      </c>
      <c r="H108" s="18" t="s">
        <v>1659</v>
      </c>
      <c r="I108" s="18" t="s">
        <v>1556</v>
      </c>
      <c r="J108" s="27" t="s">
        <v>356</v>
      </c>
      <c r="K108" s="27" t="s">
        <v>1537</v>
      </c>
      <c r="L108" s="27" t="s">
        <v>1557</v>
      </c>
      <c r="M108" s="18" t="s">
        <v>1581</v>
      </c>
      <c r="N108" s="18" t="s">
        <v>1582</v>
      </c>
      <c r="O108" s="18" t="s">
        <v>367</v>
      </c>
      <c r="P108" s="27" t="s">
        <v>170</v>
      </c>
      <c r="Q108" s="28" t="s">
        <v>1583</v>
      </c>
      <c r="R108" s="20" t="s">
        <v>1584</v>
      </c>
      <c r="S108" s="18" t="s">
        <v>293</v>
      </c>
      <c r="T108" s="28" t="s">
        <v>1585</v>
      </c>
    </row>
    <row r="109" spans="1:20" s="25" customFormat="1" ht="33.75" x14ac:dyDescent="0.25">
      <c r="A109" s="28"/>
      <c r="B109" s="28" t="s">
        <v>679</v>
      </c>
      <c r="C109" s="28" t="s">
        <v>755</v>
      </c>
      <c r="D109" s="28" t="s">
        <v>341</v>
      </c>
      <c r="E109" s="27" t="s">
        <v>679</v>
      </c>
      <c r="F109" s="27" t="s">
        <v>168</v>
      </c>
      <c r="G109" s="27" t="s">
        <v>756</v>
      </c>
      <c r="H109" s="27" t="s">
        <v>1696</v>
      </c>
      <c r="I109" s="27" t="s">
        <v>757</v>
      </c>
      <c r="J109" s="27" t="s">
        <v>356</v>
      </c>
      <c r="K109" s="27" t="s">
        <v>361</v>
      </c>
      <c r="L109" s="27" t="s">
        <v>758</v>
      </c>
      <c r="M109" s="27" t="s">
        <v>759</v>
      </c>
      <c r="N109" s="27" t="s">
        <v>760</v>
      </c>
      <c r="O109" s="27" t="s">
        <v>366</v>
      </c>
      <c r="P109" s="27" t="s">
        <v>170</v>
      </c>
      <c r="Q109" s="28" t="s">
        <v>761</v>
      </c>
      <c r="R109" s="28" t="s">
        <v>762</v>
      </c>
      <c r="S109" s="27" t="s">
        <v>293</v>
      </c>
      <c r="T109" s="28" t="s">
        <v>763</v>
      </c>
    </row>
    <row r="110" spans="1:20" s="25" customFormat="1" ht="90" x14ac:dyDescent="0.25">
      <c r="A110" s="20" t="s">
        <v>1792</v>
      </c>
      <c r="B110" s="20" t="s">
        <v>288</v>
      </c>
      <c r="C110" s="20" t="s">
        <v>1640</v>
      </c>
      <c r="D110" s="20" t="s">
        <v>288</v>
      </c>
      <c r="E110" s="18" t="s">
        <v>288</v>
      </c>
      <c r="F110" s="18" t="s">
        <v>348</v>
      </c>
      <c r="G110" s="18" t="s">
        <v>1749</v>
      </c>
      <c r="H110" s="18" t="s">
        <v>1649</v>
      </c>
      <c r="I110" s="18" t="s">
        <v>1793</v>
      </c>
      <c r="J110" s="18" t="s">
        <v>356</v>
      </c>
      <c r="K110" s="18" t="s">
        <v>363</v>
      </c>
      <c r="L110" s="18" t="s">
        <v>1794</v>
      </c>
      <c r="M110" s="18" t="s">
        <v>1795</v>
      </c>
      <c r="N110" s="18" t="s">
        <v>1796</v>
      </c>
      <c r="O110" s="18" t="s">
        <v>367</v>
      </c>
      <c r="P110" s="27" t="s">
        <v>170</v>
      </c>
      <c r="Q110" s="20" t="s">
        <v>1639</v>
      </c>
      <c r="R110" s="20" t="s">
        <v>1797</v>
      </c>
      <c r="S110" s="18" t="s">
        <v>293</v>
      </c>
      <c r="T110" s="20" t="s">
        <v>1798</v>
      </c>
    </row>
    <row r="111" spans="1:20" s="25" customFormat="1" ht="45" x14ac:dyDescent="0.25">
      <c r="A111" s="28" t="s">
        <v>1666</v>
      </c>
      <c r="B111" s="28" t="s">
        <v>288</v>
      </c>
      <c r="C111" s="28" t="s">
        <v>2582</v>
      </c>
      <c r="D111" s="28" t="s">
        <v>288</v>
      </c>
      <c r="E111" s="27" t="s">
        <v>288</v>
      </c>
      <c r="F111" s="27" t="s">
        <v>348</v>
      </c>
      <c r="G111" s="27" t="s">
        <v>2583</v>
      </c>
      <c r="H111" s="27" t="s">
        <v>1666</v>
      </c>
      <c r="I111" s="27" t="s">
        <v>2584</v>
      </c>
      <c r="J111" s="27" t="s">
        <v>356</v>
      </c>
      <c r="K111" s="27" t="s">
        <v>1341</v>
      </c>
      <c r="L111" s="27" t="s">
        <v>2585</v>
      </c>
      <c r="M111" s="27" t="s">
        <v>2586</v>
      </c>
      <c r="N111" s="27" t="s">
        <v>2587</v>
      </c>
      <c r="O111" s="27" t="s">
        <v>367</v>
      </c>
      <c r="P111" s="27" t="s">
        <v>170</v>
      </c>
      <c r="Q111" s="28" t="s">
        <v>2035</v>
      </c>
      <c r="R111" s="28" t="s">
        <v>2588</v>
      </c>
      <c r="S111" s="27" t="s">
        <v>293</v>
      </c>
      <c r="T111" s="28" t="s">
        <v>2589</v>
      </c>
    </row>
    <row r="112" spans="1:20" s="25" customFormat="1" ht="78.75" x14ac:dyDescent="0.25">
      <c r="A112" s="20" t="s">
        <v>1775</v>
      </c>
      <c r="B112" s="20" t="s">
        <v>287</v>
      </c>
      <c r="C112" s="20" t="s">
        <v>1636</v>
      </c>
      <c r="D112" s="20" t="s">
        <v>342</v>
      </c>
      <c r="E112" s="18" t="s">
        <v>287</v>
      </c>
      <c r="F112" s="18" t="s">
        <v>348</v>
      </c>
      <c r="G112" s="18" t="s">
        <v>1776</v>
      </c>
      <c r="H112" s="18" t="s">
        <v>1686</v>
      </c>
      <c r="I112" s="18" t="s">
        <v>1777</v>
      </c>
      <c r="J112" s="18" t="s">
        <v>357</v>
      </c>
      <c r="K112" s="18" t="s">
        <v>1537</v>
      </c>
      <c r="L112" s="18" t="s">
        <v>1778</v>
      </c>
      <c r="M112" s="18" t="s">
        <v>1779</v>
      </c>
      <c r="N112" s="18" t="s">
        <v>1780</v>
      </c>
      <c r="O112" s="18" t="s">
        <v>366</v>
      </c>
      <c r="P112" s="27" t="s">
        <v>170</v>
      </c>
      <c r="Q112" s="20" t="s">
        <v>1781</v>
      </c>
      <c r="R112" s="20" t="s">
        <v>1782</v>
      </c>
      <c r="S112" s="18" t="s">
        <v>293</v>
      </c>
      <c r="T112" s="20" t="s">
        <v>1783</v>
      </c>
    </row>
    <row r="113" spans="1:20" s="25" customFormat="1" ht="78.75" x14ac:dyDescent="0.25">
      <c r="A113" s="20" t="s">
        <v>2116</v>
      </c>
      <c r="B113" s="20" t="s">
        <v>287</v>
      </c>
      <c r="C113" s="20" t="s">
        <v>2246</v>
      </c>
      <c r="D113" s="20" t="s">
        <v>342</v>
      </c>
      <c r="E113" s="18" t="s">
        <v>287</v>
      </c>
      <c r="F113" s="18" t="s">
        <v>348</v>
      </c>
      <c r="G113" s="18" t="s">
        <v>756</v>
      </c>
      <c r="H113" s="18" t="s">
        <v>1650</v>
      </c>
      <c r="I113" s="18" t="s">
        <v>2247</v>
      </c>
      <c r="J113" s="18" t="s">
        <v>357</v>
      </c>
      <c r="K113" s="18" t="s">
        <v>1537</v>
      </c>
      <c r="L113" s="18" t="s">
        <v>2248</v>
      </c>
      <c r="M113" s="18" t="s">
        <v>2249</v>
      </c>
      <c r="N113" s="18" t="s">
        <v>2250</v>
      </c>
      <c r="O113" s="18" t="s">
        <v>366</v>
      </c>
      <c r="P113" s="27" t="s">
        <v>170</v>
      </c>
      <c r="Q113" s="20" t="s">
        <v>2251</v>
      </c>
      <c r="R113" s="20" t="s">
        <v>2252</v>
      </c>
      <c r="S113" s="18" t="s">
        <v>293</v>
      </c>
      <c r="T113" s="20" t="s">
        <v>2253</v>
      </c>
    </row>
    <row r="114" spans="1:20" s="25" customFormat="1" ht="33.75" x14ac:dyDescent="0.25">
      <c r="A114" s="28"/>
      <c r="B114" s="28" t="s">
        <v>378</v>
      </c>
      <c r="C114" s="28" t="s">
        <v>379</v>
      </c>
      <c r="D114" s="28" t="s">
        <v>341</v>
      </c>
      <c r="E114" s="27" t="s">
        <v>699</v>
      </c>
      <c r="F114" s="27" t="s">
        <v>348</v>
      </c>
      <c r="G114" s="27" t="s">
        <v>352</v>
      </c>
      <c r="H114" s="27" t="s">
        <v>1658</v>
      </c>
      <c r="I114" s="27" t="s">
        <v>700</v>
      </c>
      <c r="J114" s="27" t="s">
        <v>357</v>
      </c>
      <c r="K114" s="27" t="s">
        <v>362</v>
      </c>
      <c r="L114" s="27" t="s">
        <v>701</v>
      </c>
      <c r="M114" s="27" t="s">
        <v>702</v>
      </c>
      <c r="N114" s="27" t="s">
        <v>703</v>
      </c>
      <c r="O114" s="27" t="s">
        <v>366</v>
      </c>
      <c r="P114" s="27" t="s">
        <v>170</v>
      </c>
      <c r="Q114" s="28" t="s">
        <v>704</v>
      </c>
      <c r="R114" s="28" t="s">
        <v>705</v>
      </c>
      <c r="S114" s="27" t="s">
        <v>293</v>
      </c>
      <c r="T114" s="28" t="s">
        <v>706</v>
      </c>
    </row>
    <row r="115" spans="1:20" s="25" customFormat="1" ht="67.5" x14ac:dyDescent="0.25">
      <c r="A115" s="28" t="s">
        <v>2042</v>
      </c>
      <c r="B115" s="28" t="s">
        <v>833</v>
      </c>
      <c r="C115" s="28" t="s">
        <v>2450</v>
      </c>
      <c r="D115" s="28" t="s">
        <v>341</v>
      </c>
      <c r="E115" s="27" t="s">
        <v>833</v>
      </c>
      <c r="F115" s="27" t="s">
        <v>168</v>
      </c>
      <c r="G115" s="27" t="s">
        <v>1749</v>
      </c>
      <c r="H115" s="27" t="s">
        <v>1659</v>
      </c>
      <c r="I115" s="27" t="s">
        <v>2451</v>
      </c>
      <c r="J115" s="27" t="s">
        <v>356</v>
      </c>
      <c r="K115" s="27" t="s">
        <v>1537</v>
      </c>
      <c r="L115" s="27" t="s">
        <v>2452</v>
      </c>
      <c r="M115" s="27" t="s">
        <v>2453</v>
      </c>
      <c r="N115" s="27" t="s">
        <v>2454</v>
      </c>
      <c r="O115" s="27" t="s">
        <v>367</v>
      </c>
      <c r="P115" s="27" t="s">
        <v>170</v>
      </c>
      <c r="Q115" s="28" t="s">
        <v>2455</v>
      </c>
      <c r="R115" s="28" t="s">
        <v>2456</v>
      </c>
      <c r="S115" s="27" t="s">
        <v>293</v>
      </c>
      <c r="T115" s="28" t="s">
        <v>2457</v>
      </c>
    </row>
    <row r="116" spans="1:20" s="25" customFormat="1" ht="67.5" x14ac:dyDescent="0.25">
      <c r="A116" s="20" t="s">
        <v>1586</v>
      </c>
      <c r="B116" s="20" t="s">
        <v>833</v>
      </c>
      <c r="C116" s="20" t="s">
        <v>1587</v>
      </c>
      <c r="D116" s="20" t="s">
        <v>341</v>
      </c>
      <c r="E116" s="18" t="s">
        <v>833</v>
      </c>
      <c r="F116" s="18" t="s">
        <v>168</v>
      </c>
      <c r="G116" s="18" t="s">
        <v>783</v>
      </c>
      <c r="H116" s="18" t="s">
        <v>1659</v>
      </c>
      <c r="I116" s="18" t="s">
        <v>1588</v>
      </c>
      <c r="J116" s="18" t="s">
        <v>356</v>
      </c>
      <c r="K116" s="18" t="s">
        <v>1537</v>
      </c>
      <c r="L116" s="18" t="s">
        <v>1589</v>
      </c>
      <c r="M116" s="18" t="s">
        <v>1590</v>
      </c>
      <c r="N116" s="18" t="s">
        <v>1591</v>
      </c>
      <c r="O116" s="18" t="s">
        <v>367</v>
      </c>
      <c r="P116" s="27" t="s">
        <v>170</v>
      </c>
      <c r="Q116" s="20" t="s">
        <v>1592</v>
      </c>
      <c r="R116" s="20" t="s">
        <v>1593</v>
      </c>
      <c r="S116" s="18" t="s">
        <v>293</v>
      </c>
      <c r="T116" s="20" t="s">
        <v>1594</v>
      </c>
    </row>
    <row r="117" spans="1:20" s="25" customFormat="1" ht="33.75" x14ac:dyDescent="0.25">
      <c r="A117" s="28" t="s">
        <v>517</v>
      </c>
      <c r="B117" s="28" t="s">
        <v>301</v>
      </c>
      <c r="C117" s="28" t="s">
        <v>518</v>
      </c>
      <c r="D117" s="28" t="s">
        <v>341</v>
      </c>
      <c r="E117" s="27" t="s">
        <v>301</v>
      </c>
      <c r="F117" s="27" t="s">
        <v>168</v>
      </c>
      <c r="G117" s="27" t="s">
        <v>352</v>
      </c>
      <c r="H117" s="27" t="s">
        <v>1658</v>
      </c>
      <c r="I117" s="27" t="s">
        <v>470</v>
      </c>
      <c r="J117" s="27" t="s">
        <v>357</v>
      </c>
      <c r="K117" s="27" t="s">
        <v>363</v>
      </c>
      <c r="L117" s="27" t="s">
        <v>434</v>
      </c>
      <c r="M117" s="27" t="s">
        <v>519</v>
      </c>
      <c r="N117" s="27" t="s">
        <v>520</v>
      </c>
      <c r="O117" s="27" t="s">
        <v>366</v>
      </c>
      <c r="P117" s="27" t="s">
        <v>170</v>
      </c>
      <c r="Q117" s="28" t="s">
        <v>521</v>
      </c>
      <c r="R117" s="28" t="s">
        <v>522</v>
      </c>
      <c r="S117" s="27" t="s">
        <v>293</v>
      </c>
      <c r="T117" s="28" t="s">
        <v>523</v>
      </c>
    </row>
    <row r="118" spans="1:20" s="25" customFormat="1" ht="33.75" x14ac:dyDescent="0.25">
      <c r="A118" s="28" t="s">
        <v>484</v>
      </c>
      <c r="B118" s="28" t="s">
        <v>297</v>
      </c>
      <c r="C118" s="28" t="s">
        <v>485</v>
      </c>
      <c r="D118" s="28" t="s">
        <v>341</v>
      </c>
      <c r="E118" s="27" t="s">
        <v>297</v>
      </c>
      <c r="F118" s="27" t="s">
        <v>348</v>
      </c>
      <c r="G118" s="27" t="s">
        <v>352</v>
      </c>
      <c r="H118" s="27" t="s">
        <v>1657</v>
      </c>
      <c r="I118" s="27" t="s">
        <v>486</v>
      </c>
      <c r="J118" s="27" t="s">
        <v>357</v>
      </c>
      <c r="K118" s="27" t="s">
        <v>363</v>
      </c>
      <c r="L118" s="27" t="s">
        <v>373</v>
      </c>
      <c r="M118" s="27" t="s">
        <v>487</v>
      </c>
      <c r="N118" s="27" t="s">
        <v>488</v>
      </c>
      <c r="O118" s="27" t="s">
        <v>366</v>
      </c>
      <c r="P118" s="27" t="s">
        <v>170</v>
      </c>
      <c r="Q118" s="28" t="s">
        <v>817</v>
      </c>
      <c r="R118" s="28" t="s">
        <v>818</v>
      </c>
      <c r="S118" s="27" t="s">
        <v>293</v>
      </c>
      <c r="T118" s="28" t="s">
        <v>489</v>
      </c>
    </row>
    <row r="119" spans="1:20" s="25" customFormat="1" ht="45" x14ac:dyDescent="0.25">
      <c r="A119" s="28" t="s">
        <v>1337</v>
      </c>
      <c r="B119" s="28" t="s">
        <v>297</v>
      </c>
      <c r="C119" s="28" t="s">
        <v>2607</v>
      </c>
      <c r="D119" s="28" t="s">
        <v>341</v>
      </c>
      <c r="E119" s="27" t="s">
        <v>297</v>
      </c>
      <c r="F119" s="27" t="s">
        <v>348</v>
      </c>
      <c r="G119" s="27" t="s">
        <v>352</v>
      </c>
      <c r="H119" s="27" t="s">
        <v>1655</v>
      </c>
      <c r="I119" s="27" t="s">
        <v>2608</v>
      </c>
      <c r="J119" s="27" t="s">
        <v>356</v>
      </c>
      <c r="K119" s="27" t="s">
        <v>1341</v>
      </c>
      <c r="L119" s="27" t="s">
        <v>2609</v>
      </c>
      <c r="M119" s="27" t="s">
        <v>2610</v>
      </c>
      <c r="N119" s="27" t="s">
        <v>2611</v>
      </c>
      <c r="O119" s="27" t="s">
        <v>368</v>
      </c>
      <c r="P119" s="27" t="s">
        <v>170</v>
      </c>
      <c r="Q119" s="28" t="s">
        <v>2612</v>
      </c>
      <c r="R119" s="28" t="s">
        <v>2613</v>
      </c>
      <c r="S119" s="27" t="s">
        <v>293</v>
      </c>
      <c r="T119" s="28" t="s">
        <v>2614</v>
      </c>
    </row>
    <row r="120" spans="1:20" s="25" customFormat="1" ht="56.25" x14ac:dyDescent="0.25">
      <c r="A120" s="53" t="s">
        <v>350</v>
      </c>
      <c r="B120" s="20" t="s">
        <v>1268</v>
      </c>
      <c r="C120" s="20" t="s">
        <v>1269</v>
      </c>
      <c r="D120" s="20" t="s">
        <v>342</v>
      </c>
      <c r="E120" s="18" t="s">
        <v>1267</v>
      </c>
      <c r="F120" s="18" t="s">
        <v>348</v>
      </c>
      <c r="G120" s="18" t="s">
        <v>783</v>
      </c>
      <c r="H120" s="18" t="s">
        <v>1680</v>
      </c>
      <c r="I120" s="18" t="s">
        <v>1536</v>
      </c>
      <c r="J120" s="18" t="s">
        <v>355</v>
      </c>
      <c r="K120" s="18" t="s">
        <v>1537</v>
      </c>
      <c r="L120" s="18" t="s">
        <v>1538</v>
      </c>
      <c r="M120" s="18" t="s">
        <v>1539</v>
      </c>
      <c r="N120" s="18" t="s">
        <v>1540</v>
      </c>
      <c r="O120" s="18" t="s">
        <v>366</v>
      </c>
      <c r="P120" s="18" t="s">
        <v>170</v>
      </c>
      <c r="Q120" s="20" t="s">
        <v>1541</v>
      </c>
      <c r="R120" s="20" t="s">
        <v>1542</v>
      </c>
      <c r="S120" s="18" t="s">
        <v>293</v>
      </c>
      <c r="T120" s="20" t="s">
        <v>1543</v>
      </c>
    </row>
    <row r="121" spans="1:20" s="25" customFormat="1" ht="67.5" x14ac:dyDescent="0.25">
      <c r="A121" s="20" t="s">
        <v>1757</v>
      </c>
      <c r="B121" s="20" t="s">
        <v>289</v>
      </c>
      <c r="C121" s="20" t="s">
        <v>1634</v>
      </c>
      <c r="D121" s="20" t="s">
        <v>342</v>
      </c>
      <c r="E121" s="18" t="s">
        <v>347</v>
      </c>
      <c r="F121" s="18" t="s">
        <v>168</v>
      </c>
      <c r="G121" s="18" t="s">
        <v>1758</v>
      </c>
      <c r="H121" s="18" t="s">
        <v>1669</v>
      </c>
      <c r="I121" s="18" t="s">
        <v>1759</v>
      </c>
      <c r="J121" s="18" t="s">
        <v>357</v>
      </c>
      <c r="K121" s="18" t="s">
        <v>363</v>
      </c>
      <c r="L121" s="18" t="s">
        <v>1760</v>
      </c>
      <c r="M121" s="18" t="s">
        <v>1761</v>
      </c>
      <c r="N121" s="18" t="s">
        <v>1762</v>
      </c>
      <c r="O121" s="18" t="s">
        <v>366</v>
      </c>
      <c r="P121" s="27" t="s">
        <v>170</v>
      </c>
      <c r="Q121" s="20" t="s">
        <v>1763</v>
      </c>
      <c r="R121" s="20" t="s">
        <v>1764</v>
      </c>
      <c r="S121" s="18" t="s">
        <v>293</v>
      </c>
      <c r="T121" s="20" t="s">
        <v>1765</v>
      </c>
    </row>
    <row r="122" spans="1:20" s="25" customFormat="1" ht="56.25" x14ac:dyDescent="0.25">
      <c r="A122" s="28" t="s">
        <v>1586</v>
      </c>
      <c r="B122" s="28" t="s">
        <v>509</v>
      </c>
      <c r="C122" s="28" t="s">
        <v>2615</v>
      </c>
      <c r="D122" s="28" t="s">
        <v>341</v>
      </c>
      <c r="E122" s="27" t="s">
        <v>509</v>
      </c>
      <c r="F122" s="27" t="s">
        <v>168</v>
      </c>
      <c r="G122" s="27" t="s">
        <v>2616</v>
      </c>
      <c r="H122" s="27" t="s">
        <v>1680</v>
      </c>
      <c r="I122" s="27" t="s">
        <v>2617</v>
      </c>
      <c r="J122" s="27" t="s">
        <v>355</v>
      </c>
      <c r="K122" s="27" t="s">
        <v>1537</v>
      </c>
      <c r="L122" s="27" t="s">
        <v>2618</v>
      </c>
      <c r="M122" s="27" t="s">
        <v>2619</v>
      </c>
      <c r="N122" s="27" t="s">
        <v>2620</v>
      </c>
      <c r="O122" s="27" t="s">
        <v>368</v>
      </c>
      <c r="P122" s="27" t="s">
        <v>170</v>
      </c>
      <c r="Q122" s="28" t="s">
        <v>2621</v>
      </c>
      <c r="R122" s="28" t="s">
        <v>2622</v>
      </c>
      <c r="S122" s="27" t="s">
        <v>293</v>
      </c>
      <c r="T122" s="28" t="s">
        <v>2623</v>
      </c>
    </row>
    <row r="123" spans="1:20" s="25" customFormat="1" ht="45" x14ac:dyDescent="0.25">
      <c r="A123" s="28" t="s">
        <v>2342</v>
      </c>
      <c r="B123" s="28" t="s">
        <v>332</v>
      </c>
      <c r="C123" s="28" t="s">
        <v>2624</v>
      </c>
      <c r="D123" s="28" t="s">
        <v>341</v>
      </c>
      <c r="E123" s="27" t="s">
        <v>332</v>
      </c>
      <c r="F123" s="27" t="s">
        <v>348</v>
      </c>
      <c r="G123" s="27" t="s">
        <v>774</v>
      </c>
      <c r="H123" s="27" t="s">
        <v>1665</v>
      </c>
      <c r="I123" s="27" t="s">
        <v>2625</v>
      </c>
      <c r="J123" s="27" t="s">
        <v>356</v>
      </c>
      <c r="K123" s="27" t="s">
        <v>363</v>
      </c>
      <c r="L123" s="27" t="s">
        <v>2626</v>
      </c>
      <c r="M123" s="27" t="s">
        <v>2627</v>
      </c>
      <c r="N123" s="27" t="s">
        <v>2628</v>
      </c>
      <c r="O123" s="27" t="s">
        <v>368</v>
      </c>
      <c r="P123" s="27" t="s">
        <v>170</v>
      </c>
      <c r="Q123" s="28" t="s">
        <v>2054</v>
      </c>
      <c r="R123" s="28" t="s">
        <v>2629</v>
      </c>
      <c r="S123" s="27" t="s">
        <v>293</v>
      </c>
      <c r="T123" s="28" t="s">
        <v>2630</v>
      </c>
    </row>
    <row r="124" spans="1:20" s="25" customFormat="1" ht="33.75" x14ac:dyDescent="0.25">
      <c r="A124" s="28" t="s">
        <v>613</v>
      </c>
      <c r="B124" s="28" t="s">
        <v>332</v>
      </c>
      <c r="C124" s="28" t="s">
        <v>614</v>
      </c>
      <c r="D124" s="28" t="s">
        <v>341</v>
      </c>
      <c r="E124" s="27" t="s">
        <v>332</v>
      </c>
      <c r="F124" s="27" t="s">
        <v>168</v>
      </c>
      <c r="G124" s="27" t="s">
        <v>352</v>
      </c>
      <c r="H124" s="27" t="s">
        <v>1665</v>
      </c>
      <c r="I124" s="27" t="s">
        <v>470</v>
      </c>
      <c r="J124" s="27" t="s">
        <v>356</v>
      </c>
      <c r="K124" s="27" t="s">
        <v>363</v>
      </c>
      <c r="L124" s="27" t="s">
        <v>615</v>
      </c>
      <c r="M124" s="27" t="s">
        <v>616</v>
      </c>
      <c r="N124" s="27" t="s">
        <v>617</v>
      </c>
      <c r="O124" s="27" t="s">
        <v>366</v>
      </c>
      <c r="P124" s="27" t="s">
        <v>170</v>
      </c>
      <c r="Q124" s="28" t="s">
        <v>618</v>
      </c>
      <c r="R124" s="28" t="s">
        <v>619</v>
      </c>
      <c r="S124" s="27" t="s">
        <v>293</v>
      </c>
      <c r="T124" s="28" t="s">
        <v>620</v>
      </c>
    </row>
    <row r="125" spans="1:20" s="25" customFormat="1" ht="67.5" x14ac:dyDescent="0.25">
      <c r="A125" s="28" t="s">
        <v>2639</v>
      </c>
      <c r="B125" s="28" t="s">
        <v>2327</v>
      </c>
      <c r="C125" s="28" t="s">
        <v>2640</v>
      </c>
      <c r="D125" s="28" t="s">
        <v>341</v>
      </c>
      <c r="E125" s="27" t="s">
        <v>2327</v>
      </c>
      <c r="F125" s="27" t="s">
        <v>348</v>
      </c>
      <c r="G125" s="27" t="s">
        <v>2369</v>
      </c>
      <c r="H125" s="27" t="s">
        <v>1668</v>
      </c>
      <c r="I125" s="27" t="s">
        <v>2641</v>
      </c>
      <c r="J125" s="27" t="s">
        <v>357</v>
      </c>
      <c r="K125" s="27" t="s">
        <v>1537</v>
      </c>
      <c r="L125" s="27" t="s">
        <v>2642</v>
      </c>
      <c r="M125" s="27" t="s">
        <v>2643</v>
      </c>
      <c r="N125" s="27" t="s">
        <v>2644</v>
      </c>
      <c r="O125" s="27" t="s">
        <v>368</v>
      </c>
      <c r="P125" s="27" t="s">
        <v>170</v>
      </c>
      <c r="Q125" s="28" t="s">
        <v>2645</v>
      </c>
      <c r="R125" s="28" t="s">
        <v>2646</v>
      </c>
      <c r="S125" s="27" t="s">
        <v>293</v>
      </c>
      <c r="T125" s="28" t="s">
        <v>2647</v>
      </c>
    </row>
    <row r="126" spans="1:20" s="25" customFormat="1" ht="22.5" x14ac:dyDescent="0.25">
      <c r="A126" s="28"/>
      <c r="B126" s="28" t="s">
        <v>476</v>
      </c>
      <c r="C126" s="28" t="s">
        <v>477</v>
      </c>
      <c r="D126" s="28" t="s">
        <v>341</v>
      </c>
      <c r="E126" s="27" t="s">
        <v>478</v>
      </c>
      <c r="F126" s="27" t="s">
        <v>348</v>
      </c>
      <c r="G126" s="27" t="s">
        <v>352</v>
      </c>
      <c r="H126" s="27" t="s">
        <v>1682</v>
      </c>
      <c r="I126" s="27" t="s">
        <v>470</v>
      </c>
      <c r="J126" s="27" t="s">
        <v>357</v>
      </c>
      <c r="K126" s="27" t="s">
        <v>363</v>
      </c>
      <c r="L126" s="27" t="s">
        <v>434</v>
      </c>
      <c r="M126" s="27" t="s">
        <v>479</v>
      </c>
      <c r="N126" s="27" t="s">
        <v>480</v>
      </c>
      <c r="O126" s="27" t="s">
        <v>366</v>
      </c>
      <c r="P126" s="27" t="s">
        <v>170</v>
      </c>
      <c r="Q126" s="28" t="s">
        <v>481</v>
      </c>
      <c r="R126" s="28" t="s">
        <v>482</v>
      </c>
      <c r="S126" s="27" t="s">
        <v>293</v>
      </c>
      <c r="T126" s="28" t="s">
        <v>483</v>
      </c>
    </row>
    <row r="127" spans="1:20" s="25" customFormat="1" ht="45" x14ac:dyDescent="0.25">
      <c r="A127" s="28" t="s">
        <v>2335</v>
      </c>
      <c r="B127" s="28" t="s">
        <v>481</v>
      </c>
      <c r="C127" s="28" t="s">
        <v>2648</v>
      </c>
      <c r="D127" s="28" t="s">
        <v>341</v>
      </c>
      <c r="E127" s="27" t="s">
        <v>478</v>
      </c>
      <c r="F127" s="27" t="s">
        <v>168</v>
      </c>
      <c r="G127" s="27" t="s">
        <v>2275</v>
      </c>
      <c r="H127" s="27" t="s">
        <v>1682</v>
      </c>
      <c r="I127" s="27" t="s">
        <v>2649</v>
      </c>
      <c r="J127" s="27" t="s">
        <v>357</v>
      </c>
      <c r="K127" s="27" t="s">
        <v>1341</v>
      </c>
      <c r="L127" s="27" t="s">
        <v>2650</v>
      </c>
      <c r="M127" s="27" t="s">
        <v>2651</v>
      </c>
      <c r="N127" s="27" t="s">
        <v>2652</v>
      </c>
      <c r="O127" s="27" t="s">
        <v>368</v>
      </c>
      <c r="P127" s="27" t="s">
        <v>170</v>
      </c>
      <c r="Q127" s="28" t="s">
        <v>1973</v>
      </c>
      <c r="R127" s="28" t="s">
        <v>2653</v>
      </c>
      <c r="S127" s="27" t="s">
        <v>293</v>
      </c>
      <c r="T127" s="28" t="s">
        <v>2654</v>
      </c>
    </row>
    <row r="128" spans="1:20" s="25" customFormat="1" ht="56.25" x14ac:dyDescent="0.25">
      <c r="A128" s="20" t="s">
        <v>355</v>
      </c>
      <c r="B128" s="20" t="s">
        <v>836</v>
      </c>
      <c r="C128" s="20" t="s">
        <v>1595</v>
      </c>
      <c r="D128" s="20" t="s">
        <v>341</v>
      </c>
      <c r="E128" s="18" t="s">
        <v>836</v>
      </c>
      <c r="F128" s="18" t="s">
        <v>348</v>
      </c>
      <c r="G128" s="18" t="s">
        <v>783</v>
      </c>
      <c r="H128" s="18" t="s">
        <v>1665</v>
      </c>
      <c r="I128" s="18" t="s">
        <v>1596</v>
      </c>
      <c r="J128" s="18" t="s">
        <v>356</v>
      </c>
      <c r="K128" s="18" t="s">
        <v>1341</v>
      </c>
      <c r="L128" s="18" t="s">
        <v>1597</v>
      </c>
      <c r="M128" s="18" t="s">
        <v>1598</v>
      </c>
      <c r="N128" s="18" t="s">
        <v>1599</v>
      </c>
      <c r="O128" s="18" t="s">
        <v>367</v>
      </c>
      <c r="P128" s="27" t="s">
        <v>170</v>
      </c>
      <c r="Q128" s="20" t="s">
        <v>1601</v>
      </c>
      <c r="R128" s="20" t="s">
        <v>1600</v>
      </c>
      <c r="S128" s="18" t="s">
        <v>293</v>
      </c>
      <c r="T128" s="20" t="s">
        <v>1602</v>
      </c>
    </row>
    <row r="129" spans="1:20" s="25" customFormat="1" ht="56.25" x14ac:dyDescent="0.25">
      <c r="A129" s="28" t="s">
        <v>2060</v>
      </c>
      <c r="B129" s="28" t="s">
        <v>836</v>
      </c>
      <c r="C129" s="28" t="s">
        <v>2494</v>
      </c>
      <c r="D129" s="28" t="s">
        <v>341</v>
      </c>
      <c r="E129" s="27" t="s">
        <v>836</v>
      </c>
      <c r="F129" s="27" t="s">
        <v>348</v>
      </c>
      <c r="G129" s="27" t="s">
        <v>1749</v>
      </c>
      <c r="H129" s="27" t="s">
        <v>1659</v>
      </c>
      <c r="I129" s="27" t="s">
        <v>2495</v>
      </c>
      <c r="J129" s="27" t="s">
        <v>356</v>
      </c>
      <c r="K129" s="27" t="s">
        <v>362</v>
      </c>
      <c r="L129" s="27" t="s">
        <v>2496</v>
      </c>
      <c r="M129" s="27" t="s">
        <v>2497</v>
      </c>
      <c r="N129" s="27" t="s">
        <v>2498</v>
      </c>
      <c r="O129" s="27" t="s">
        <v>367</v>
      </c>
      <c r="P129" s="27" t="s">
        <v>170</v>
      </c>
      <c r="Q129" s="28" t="s">
        <v>2499</v>
      </c>
      <c r="R129" s="28" t="s">
        <v>2500</v>
      </c>
      <c r="S129" s="27" t="s">
        <v>293</v>
      </c>
      <c r="T129" s="28" t="s">
        <v>2501</v>
      </c>
    </row>
    <row r="130" spans="1:20" s="25" customFormat="1" ht="78.75" x14ac:dyDescent="0.25">
      <c r="A130" s="20" t="s">
        <v>2107</v>
      </c>
      <c r="B130" s="20" t="s">
        <v>2108</v>
      </c>
      <c r="C130" s="20" t="s">
        <v>2245</v>
      </c>
      <c r="D130" s="20" t="s">
        <v>341</v>
      </c>
      <c r="E130" s="18" t="s">
        <v>2119</v>
      </c>
      <c r="F130" s="18" t="s">
        <v>168</v>
      </c>
      <c r="G130" s="18" t="s">
        <v>2275</v>
      </c>
      <c r="H130" s="18" t="s">
        <v>2276</v>
      </c>
      <c r="I130" s="18" t="s">
        <v>2277</v>
      </c>
      <c r="J130" s="18" t="s">
        <v>360</v>
      </c>
      <c r="K130" s="18" t="s">
        <v>362</v>
      </c>
      <c r="L130" s="18" t="s">
        <v>2286</v>
      </c>
      <c r="M130" s="18" t="s">
        <v>2279</v>
      </c>
      <c r="N130" s="18" t="s">
        <v>2278</v>
      </c>
      <c r="O130" s="18" t="s">
        <v>366</v>
      </c>
      <c r="P130" s="27" t="s">
        <v>202</v>
      </c>
      <c r="Q130" s="20" t="s">
        <v>2257</v>
      </c>
      <c r="R130" s="20" t="s">
        <v>2258</v>
      </c>
      <c r="S130" s="18" t="s">
        <v>293</v>
      </c>
      <c r="T130" s="20" t="s">
        <v>2287</v>
      </c>
    </row>
    <row r="131" spans="1:20" s="25" customFormat="1" ht="33.75" x14ac:dyDescent="0.25">
      <c r="A131" s="28"/>
      <c r="B131" s="28" t="s">
        <v>685</v>
      </c>
      <c r="C131" s="28" t="s">
        <v>807</v>
      </c>
      <c r="D131" s="28" t="s">
        <v>341</v>
      </c>
      <c r="E131" s="27" t="s">
        <v>685</v>
      </c>
      <c r="F131" s="27" t="s">
        <v>348</v>
      </c>
      <c r="G131" s="27" t="s">
        <v>808</v>
      </c>
      <c r="H131" s="27" t="s">
        <v>1658</v>
      </c>
      <c r="I131" s="27" t="s">
        <v>748</v>
      </c>
      <c r="J131" s="27" t="s">
        <v>357</v>
      </c>
      <c r="K131" s="27" t="s">
        <v>363</v>
      </c>
      <c r="L131" s="27" t="s">
        <v>809</v>
      </c>
      <c r="M131" s="27" t="s">
        <v>810</v>
      </c>
      <c r="N131" s="27" t="s">
        <v>811</v>
      </c>
      <c r="O131" s="27" t="s">
        <v>366</v>
      </c>
      <c r="P131" s="27" t="s">
        <v>170</v>
      </c>
      <c r="Q131" s="28" t="s">
        <v>812</v>
      </c>
      <c r="R131" s="28" t="s">
        <v>813</v>
      </c>
      <c r="S131" s="27" t="s">
        <v>293</v>
      </c>
      <c r="T131" s="28" t="s">
        <v>814</v>
      </c>
    </row>
    <row r="132" spans="1:20" s="25" customFormat="1" ht="123.75" x14ac:dyDescent="0.25">
      <c r="A132" s="20" t="s">
        <v>1016</v>
      </c>
      <c r="B132" s="20" t="s">
        <v>2106</v>
      </c>
      <c r="C132" s="20" t="s">
        <v>2254</v>
      </c>
      <c r="D132" s="20" t="s">
        <v>344</v>
      </c>
      <c r="E132" s="18" t="s">
        <v>2106</v>
      </c>
      <c r="F132" s="18" t="s">
        <v>348</v>
      </c>
      <c r="G132" s="18" t="s">
        <v>2275</v>
      </c>
      <c r="H132" s="18" t="s">
        <v>2280</v>
      </c>
      <c r="I132" s="18" t="s">
        <v>2281</v>
      </c>
      <c r="J132" s="18" t="s">
        <v>360</v>
      </c>
      <c r="K132" s="18" t="s">
        <v>1537</v>
      </c>
      <c r="L132" s="18" t="s">
        <v>2282</v>
      </c>
      <c r="M132" s="18" t="s">
        <v>2283</v>
      </c>
      <c r="N132" s="18" t="s">
        <v>2284</v>
      </c>
      <c r="O132" s="18" t="s">
        <v>366</v>
      </c>
      <c r="P132" s="27" t="s">
        <v>202</v>
      </c>
      <c r="Q132" s="20" t="s">
        <v>2255</v>
      </c>
      <c r="R132" s="20" t="s">
        <v>2256</v>
      </c>
      <c r="S132" s="18" t="s">
        <v>293</v>
      </c>
      <c r="T132" s="20" t="s">
        <v>2285</v>
      </c>
    </row>
    <row r="133" spans="1:20" s="25" customFormat="1" ht="78.75" x14ac:dyDescent="0.25">
      <c r="A133" s="20" t="s">
        <v>1334</v>
      </c>
      <c r="B133" s="20" t="s">
        <v>1333</v>
      </c>
      <c r="C133" s="20" t="s">
        <v>2259</v>
      </c>
      <c r="D133" s="20" t="s">
        <v>342</v>
      </c>
      <c r="E133" s="18" t="s">
        <v>1333</v>
      </c>
      <c r="F133" s="18" t="s">
        <v>348</v>
      </c>
      <c r="G133" s="18" t="s">
        <v>756</v>
      </c>
      <c r="H133" s="18" t="s">
        <v>1648</v>
      </c>
      <c r="I133" s="18" t="s">
        <v>2260</v>
      </c>
      <c r="J133" s="18" t="s">
        <v>355</v>
      </c>
      <c r="K133" s="18" t="s">
        <v>1537</v>
      </c>
      <c r="L133" s="18" t="s">
        <v>2261</v>
      </c>
      <c r="M133" s="18" t="s">
        <v>2262</v>
      </c>
      <c r="N133" s="18" t="s">
        <v>2263</v>
      </c>
      <c r="O133" s="18" t="s">
        <v>366</v>
      </c>
      <c r="P133" s="27" t="s">
        <v>170</v>
      </c>
      <c r="Q133" s="20" t="s">
        <v>2264</v>
      </c>
      <c r="R133" s="20" t="s">
        <v>2265</v>
      </c>
      <c r="S133" s="18" t="s">
        <v>293</v>
      </c>
      <c r="T133" s="20" t="s">
        <v>2266</v>
      </c>
    </row>
    <row r="134" spans="1:20" s="25" customFormat="1" ht="67.5" x14ac:dyDescent="0.25">
      <c r="A134" s="20" t="s">
        <v>978</v>
      </c>
      <c r="B134" s="20" t="s">
        <v>1333</v>
      </c>
      <c r="C134" s="20" t="s">
        <v>2267</v>
      </c>
      <c r="D134" s="20" t="s">
        <v>342</v>
      </c>
      <c r="E134" s="18" t="s">
        <v>1333</v>
      </c>
      <c r="F134" s="18" t="s">
        <v>348</v>
      </c>
      <c r="G134" s="18" t="s">
        <v>1758</v>
      </c>
      <c r="H134" s="18" t="s">
        <v>1671</v>
      </c>
      <c r="I134" s="18" t="s">
        <v>2268</v>
      </c>
      <c r="J134" s="18" t="s">
        <v>356</v>
      </c>
      <c r="K134" s="18" t="s">
        <v>1341</v>
      </c>
      <c r="L134" s="18" t="s">
        <v>2269</v>
      </c>
      <c r="M134" s="18" t="s">
        <v>2270</v>
      </c>
      <c r="N134" s="18" t="s">
        <v>2271</v>
      </c>
      <c r="O134" s="18" t="s">
        <v>366</v>
      </c>
      <c r="P134" s="27" t="s">
        <v>170</v>
      </c>
      <c r="Q134" s="20" t="s">
        <v>2272</v>
      </c>
      <c r="R134" s="20" t="s">
        <v>2273</v>
      </c>
      <c r="S134" s="18" t="s">
        <v>293</v>
      </c>
      <c r="T134" s="20" t="s">
        <v>2274</v>
      </c>
    </row>
    <row r="135" spans="1:20" s="25" customFormat="1" ht="67.5" x14ac:dyDescent="0.25">
      <c r="A135" s="20" t="s">
        <v>1719</v>
      </c>
      <c r="B135" s="20" t="s">
        <v>1333</v>
      </c>
      <c r="C135" s="20" t="s">
        <v>1626</v>
      </c>
      <c r="D135" s="20" t="s">
        <v>342</v>
      </c>
      <c r="E135" s="18" t="s">
        <v>1333</v>
      </c>
      <c r="F135" s="18" t="s">
        <v>348</v>
      </c>
      <c r="G135" s="18" t="s">
        <v>352</v>
      </c>
      <c r="H135" s="18" t="s">
        <v>1647</v>
      </c>
      <c r="I135" s="18" t="s">
        <v>1720</v>
      </c>
      <c r="J135" s="18" t="s">
        <v>356</v>
      </c>
      <c r="K135" s="18" t="s">
        <v>363</v>
      </c>
      <c r="L135" s="18" t="s">
        <v>1721</v>
      </c>
      <c r="M135" s="18" t="s">
        <v>1722</v>
      </c>
      <c r="N135" s="18" t="s">
        <v>1723</v>
      </c>
      <c r="O135" s="18" t="s">
        <v>366</v>
      </c>
      <c r="P135" s="27" t="s">
        <v>170</v>
      </c>
      <c r="Q135" s="20" t="s">
        <v>1724</v>
      </c>
      <c r="R135" s="20" t="s">
        <v>1725</v>
      </c>
      <c r="S135" s="18" t="s">
        <v>293</v>
      </c>
      <c r="T135" s="20" t="s">
        <v>1726</v>
      </c>
    </row>
    <row r="136" spans="1:20" s="25" customFormat="1" ht="56.25" x14ac:dyDescent="0.25">
      <c r="A136" s="28" t="s">
        <v>2343</v>
      </c>
      <c r="B136" s="28" t="s">
        <v>682</v>
      </c>
      <c r="C136" s="28" t="s">
        <v>2655</v>
      </c>
      <c r="D136" s="28" t="s">
        <v>341</v>
      </c>
      <c r="E136" s="27" t="s">
        <v>682</v>
      </c>
      <c r="F136" s="27" t="s">
        <v>168</v>
      </c>
      <c r="G136" s="27" t="s">
        <v>1512</v>
      </c>
      <c r="H136" s="27" t="s">
        <v>1684</v>
      </c>
      <c r="I136" s="27" t="s">
        <v>2656</v>
      </c>
      <c r="J136" s="27" t="s">
        <v>355</v>
      </c>
      <c r="K136" s="27" t="s">
        <v>1537</v>
      </c>
      <c r="L136" s="27" t="s">
        <v>2657</v>
      </c>
      <c r="M136" s="27" t="s">
        <v>2658</v>
      </c>
      <c r="N136" s="27" t="s">
        <v>2659</v>
      </c>
      <c r="O136" s="27" t="s">
        <v>368</v>
      </c>
      <c r="P136" s="27" t="s">
        <v>170</v>
      </c>
      <c r="Q136" s="28" t="s">
        <v>2660</v>
      </c>
      <c r="R136" s="28" t="s">
        <v>2661</v>
      </c>
      <c r="S136" s="27" t="s">
        <v>293</v>
      </c>
      <c r="T136" s="28" t="s">
        <v>2662</v>
      </c>
    </row>
    <row r="137" spans="1:20" s="25" customFormat="1" ht="33.75" x14ac:dyDescent="0.25">
      <c r="A137" s="28" t="s">
        <v>737</v>
      </c>
      <c r="B137" s="28" t="s">
        <v>682</v>
      </c>
      <c r="C137" s="28" t="s">
        <v>782</v>
      </c>
      <c r="D137" s="28" t="s">
        <v>341</v>
      </c>
      <c r="E137" s="27" t="s">
        <v>682</v>
      </c>
      <c r="F137" s="27" t="s">
        <v>168</v>
      </c>
      <c r="G137" s="27" t="s">
        <v>783</v>
      </c>
      <c r="H137" s="27" t="s">
        <v>1684</v>
      </c>
      <c r="I137" s="27" t="s">
        <v>784</v>
      </c>
      <c r="J137" s="27" t="s">
        <v>355</v>
      </c>
      <c r="K137" s="27" t="s">
        <v>361</v>
      </c>
      <c r="L137" s="27" t="s">
        <v>785</v>
      </c>
      <c r="M137" s="27" t="s">
        <v>786</v>
      </c>
      <c r="N137" s="27" t="s">
        <v>787</v>
      </c>
      <c r="O137" s="27" t="s">
        <v>366</v>
      </c>
      <c r="P137" s="27" t="s">
        <v>170</v>
      </c>
      <c r="Q137" s="28" t="s">
        <v>788</v>
      </c>
      <c r="R137" s="28" t="s">
        <v>789</v>
      </c>
      <c r="S137" s="27" t="s">
        <v>293</v>
      </c>
      <c r="T137" s="28" t="s">
        <v>790</v>
      </c>
    </row>
    <row r="138" spans="1:20" s="25" customFormat="1" ht="33.75" x14ac:dyDescent="0.25">
      <c r="A138" s="28" t="s">
        <v>403</v>
      </c>
      <c r="B138" s="28" t="s">
        <v>303</v>
      </c>
      <c r="C138" s="28" t="s">
        <v>531</v>
      </c>
      <c r="D138" s="28" t="s">
        <v>341</v>
      </c>
      <c r="E138" s="27" t="s">
        <v>303</v>
      </c>
      <c r="F138" s="27" t="s">
        <v>168</v>
      </c>
      <c r="G138" s="27" t="s">
        <v>352</v>
      </c>
      <c r="H138" s="27" t="s">
        <v>1673</v>
      </c>
      <c r="I138" s="27" t="s">
        <v>433</v>
      </c>
      <c r="J138" s="27" t="s">
        <v>355</v>
      </c>
      <c r="K138" s="27" t="s">
        <v>363</v>
      </c>
      <c r="L138" s="27" t="s">
        <v>532</v>
      </c>
      <c r="M138" s="27" t="s">
        <v>533</v>
      </c>
      <c r="N138" s="27" t="s">
        <v>534</v>
      </c>
      <c r="O138" s="27" t="s">
        <v>366</v>
      </c>
      <c r="P138" s="27" t="s">
        <v>170</v>
      </c>
      <c r="Q138" s="28" t="s">
        <v>819</v>
      </c>
      <c r="R138" s="28" t="s">
        <v>820</v>
      </c>
      <c r="S138" s="27" t="s">
        <v>293</v>
      </c>
      <c r="T138" s="28" t="s">
        <v>535</v>
      </c>
    </row>
    <row r="139" spans="1:20" s="25" customFormat="1" ht="78.75" x14ac:dyDescent="0.25">
      <c r="A139" s="20" t="s">
        <v>2117</v>
      </c>
      <c r="B139" s="20" t="s">
        <v>303</v>
      </c>
      <c r="C139" s="20" t="s">
        <v>2288</v>
      </c>
      <c r="D139" s="20" t="s">
        <v>341</v>
      </c>
      <c r="E139" s="18" t="s">
        <v>303</v>
      </c>
      <c r="F139" s="18" t="s">
        <v>168</v>
      </c>
      <c r="G139" s="18" t="s">
        <v>756</v>
      </c>
      <c r="H139" s="18" t="s">
        <v>1676</v>
      </c>
      <c r="I139" s="18" t="s">
        <v>2289</v>
      </c>
      <c r="J139" s="18" t="s">
        <v>356</v>
      </c>
      <c r="K139" s="18" t="s">
        <v>363</v>
      </c>
      <c r="L139" s="18" t="s">
        <v>2290</v>
      </c>
      <c r="M139" s="18" t="s">
        <v>2291</v>
      </c>
      <c r="N139" s="18" t="s">
        <v>2292</v>
      </c>
      <c r="O139" s="18" t="s">
        <v>366</v>
      </c>
      <c r="P139" s="27" t="s">
        <v>170</v>
      </c>
      <c r="Q139" s="20" t="s">
        <v>2293</v>
      </c>
      <c r="R139" s="20" t="s">
        <v>2294</v>
      </c>
      <c r="S139" s="18" t="s">
        <v>293</v>
      </c>
      <c r="T139" s="20" t="s">
        <v>2295</v>
      </c>
    </row>
    <row r="140" spans="1:20" s="25" customFormat="1" ht="45" x14ac:dyDescent="0.25">
      <c r="A140" s="20" t="s">
        <v>403</v>
      </c>
      <c r="B140" s="20" t="s">
        <v>1621</v>
      </c>
      <c r="C140" s="20" t="s">
        <v>1622</v>
      </c>
      <c r="D140" s="20" t="s">
        <v>342</v>
      </c>
      <c r="E140" s="18" t="s">
        <v>1623</v>
      </c>
      <c r="F140" s="18" t="s">
        <v>168</v>
      </c>
      <c r="G140" s="18" t="s">
        <v>352</v>
      </c>
      <c r="H140" s="18" t="s">
        <v>1669</v>
      </c>
      <c r="I140" s="18" t="s">
        <v>1697</v>
      </c>
      <c r="J140" s="18" t="s">
        <v>355</v>
      </c>
      <c r="K140" s="18" t="s">
        <v>1341</v>
      </c>
      <c r="L140" s="18" t="s">
        <v>1698</v>
      </c>
      <c r="M140" s="18" t="s">
        <v>1699</v>
      </c>
      <c r="N140" s="18" t="s">
        <v>1700</v>
      </c>
      <c r="O140" s="18" t="s">
        <v>366</v>
      </c>
      <c r="P140" s="27" t="s">
        <v>170</v>
      </c>
      <c r="Q140" s="20" t="s">
        <v>1701</v>
      </c>
      <c r="R140" s="20" t="s">
        <v>1702</v>
      </c>
      <c r="S140" s="18" t="s">
        <v>293</v>
      </c>
      <c r="T140" s="20" t="s">
        <v>1703</v>
      </c>
    </row>
    <row r="141" spans="1:20" s="25" customFormat="1" ht="56.25" x14ac:dyDescent="0.25">
      <c r="A141" s="28" t="s">
        <v>2084</v>
      </c>
      <c r="B141" s="28" t="s">
        <v>2590</v>
      </c>
      <c r="C141" s="28" t="s">
        <v>2591</v>
      </c>
      <c r="D141" s="28" t="s">
        <v>341</v>
      </c>
      <c r="E141" s="27" t="s">
        <v>683</v>
      </c>
      <c r="F141" s="27" t="s">
        <v>168</v>
      </c>
      <c r="G141" s="27" t="s">
        <v>352</v>
      </c>
      <c r="H141" s="27" t="s">
        <v>1658</v>
      </c>
      <c r="I141" s="27" t="s">
        <v>2592</v>
      </c>
      <c r="J141" s="27" t="s">
        <v>357</v>
      </c>
      <c r="K141" s="27" t="s">
        <v>1341</v>
      </c>
      <c r="L141" s="27" t="s">
        <v>2593</v>
      </c>
      <c r="M141" s="27" t="s">
        <v>2594</v>
      </c>
      <c r="N141" s="27" t="s">
        <v>2595</v>
      </c>
      <c r="O141" s="27" t="s">
        <v>368</v>
      </c>
      <c r="P141" s="27" t="s">
        <v>170</v>
      </c>
      <c r="Q141" s="28" t="s">
        <v>2596</v>
      </c>
      <c r="R141" s="28" t="s">
        <v>2597</v>
      </c>
      <c r="S141" s="27" t="s">
        <v>293</v>
      </c>
      <c r="T141" s="28" t="s">
        <v>2598</v>
      </c>
    </row>
    <row r="142" spans="1:20" s="25" customFormat="1" ht="33.75" x14ac:dyDescent="0.25">
      <c r="A142" s="28"/>
      <c r="B142" s="28" t="s">
        <v>315</v>
      </c>
      <c r="C142" s="28" t="s">
        <v>686</v>
      </c>
      <c r="D142" s="28" t="s">
        <v>288</v>
      </c>
      <c r="E142" s="27" t="s">
        <v>288</v>
      </c>
      <c r="F142" s="27" t="s">
        <v>348</v>
      </c>
      <c r="G142" s="27" t="s">
        <v>352</v>
      </c>
      <c r="H142" s="27" t="s">
        <v>1672</v>
      </c>
      <c r="I142" s="27" t="s">
        <v>470</v>
      </c>
      <c r="J142" s="27" t="s">
        <v>356</v>
      </c>
      <c r="K142" s="27" t="s">
        <v>362</v>
      </c>
      <c r="L142" s="27" t="s">
        <v>687</v>
      </c>
      <c r="M142" s="27" t="s">
        <v>688</v>
      </c>
      <c r="N142" s="27" t="s">
        <v>689</v>
      </c>
      <c r="O142" s="27" t="s">
        <v>366</v>
      </c>
      <c r="P142" s="27" t="s">
        <v>170</v>
      </c>
      <c r="Q142" s="28" t="s">
        <v>315</v>
      </c>
      <c r="R142" s="28" t="s">
        <v>690</v>
      </c>
      <c r="S142" s="27" t="s">
        <v>293</v>
      </c>
      <c r="T142" s="28" t="s">
        <v>691</v>
      </c>
    </row>
    <row r="143" spans="1:20" s="25" customFormat="1" ht="101.25" x14ac:dyDescent="0.25">
      <c r="A143" s="20" t="s">
        <v>2118</v>
      </c>
      <c r="B143" s="20" t="s">
        <v>333</v>
      </c>
      <c r="C143" s="20" t="s">
        <v>2296</v>
      </c>
      <c r="D143" s="20" t="s">
        <v>341</v>
      </c>
      <c r="E143" s="18" t="s">
        <v>333</v>
      </c>
      <c r="F143" s="18" t="s">
        <v>168</v>
      </c>
      <c r="G143" s="18" t="s">
        <v>1749</v>
      </c>
      <c r="H143" s="18" t="s">
        <v>1660</v>
      </c>
      <c r="I143" s="18" t="s">
        <v>2297</v>
      </c>
      <c r="J143" s="18" t="s">
        <v>356</v>
      </c>
      <c r="K143" s="18" t="s">
        <v>1341</v>
      </c>
      <c r="L143" s="18" t="s">
        <v>2298</v>
      </c>
      <c r="M143" s="18" t="s">
        <v>2299</v>
      </c>
      <c r="N143" s="18" t="s">
        <v>2300</v>
      </c>
      <c r="O143" s="18" t="s">
        <v>367</v>
      </c>
      <c r="P143" s="27" t="s">
        <v>170</v>
      </c>
      <c r="Q143" s="20" t="s">
        <v>2301</v>
      </c>
      <c r="R143" s="20" t="s">
        <v>2302</v>
      </c>
      <c r="S143" s="18" t="s">
        <v>293</v>
      </c>
      <c r="T143" s="20" t="s">
        <v>2303</v>
      </c>
    </row>
    <row r="144" spans="1:20" s="25" customFormat="1" ht="56.25" x14ac:dyDescent="0.25">
      <c r="A144" s="28" t="s">
        <v>1334</v>
      </c>
      <c r="B144" s="28" t="s">
        <v>2319</v>
      </c>
      <c r="C144" s="28" t="s">
        <v>2663</v>
      </c>
      <c r="D144" s="28" t="s">
        <v>341</v>
      </c>
      <c r="E144" s="27" t="s">
        <v>1330</v>
      </c>
      <c r="F144" s="27" t="s">
        <v>348</v>
      </c>
      <c r="G144" s="27" t="s">
        <v>774</v>
      </c>
      <c r="H144" s="27" t="s">
        <v>1696</v>
      </c>
      <c r="I144" s="27" t="s">
        <v>2415</v>
      </c>
      <c r="J144" s="27" t="s">
        <v>356</v>
      </c>
      <c r="K144" s="27" t="s">
        <v>362</v>
      </c>
      <c r="L144" s="27" t="s">
        <v>2664</v>
      </c>
      <c r="M144" s="27" t="s">
        <v>2665</v>
      </c>
      <c r="N144" s="27" t="s">
        <v>2666</v>
      </c>
      <c r="O144" s="27" t="s">
        <v>368</v>
      </c>
      <c r="P144" s="27" t="s">
        <v>170</v>
      </c>
      <c r="Q144" s="28" t="s">
        <v>2667</v>
      </c>
      <c r="R144" s="28" t="s">
        <v>2668</v>
      </c>
      <c r="S144" s="27" t="s">
        <v>293</v>
      </c>
      <c r="T144" s="28" t="s">
        <v>2669</v>
      </c>
    </row>
    <row r="145" spans="1:20" s="25" customFormat="1" ht="33.75" x14ac:dyDescent="0.25">
      <c r="A145" s="28"/>
      <c r="B145" s="28" t="s">
        <v>683</v>
      </c>
      <c r="C145" s="28" t="s">
        <v>791</v>
      </c>
      <c r="D145" s="28" t="s">
        <v>341</v>
      </c>
      <c r="E145" s="27" t="s">
        <v>683</v>
      </c>
      <c r="F145" s="27" t="s">
        <v>168</v>
      </c>
      <c r="G145" s="27" t="s">
        <v>352</v>
      </c>
      <c r="H145" s="27" t="s">
        <v>1658</v>
      </c>
      <c r="I145" s="27" t="s">
        <v>792</v>
      </c>
      <c r="J145" s="27" t="s">
        <v>357</v>
      </c>
      <c r="K145" s="27" t="s">
        <v>363</v>
      </c>
      <c r="L145" s="97" t="s">
        <v>793</v>
      </c>
      <c r="M145" s="27" t="s">
        <v>794</v>
      </c>
      <c r="N145" s="27" t="s">
        <v>795</v>
      </c>
      <c r="O145" s="27" t="s">
        <v>366</v>
      </c>
      <c r="P145" s="27" t="s">
        <v>170</v>
      </c>
      <c r="Q145" s="28" t="s">
        <v>796</v>
      </c>
      <c r="R145" s="28" t="s">
        <v>797</v>
      </c>
      <c r="S145" s="27" t="s">
        <v>293</v>
      </c>
      <c r="T145" s="28" t="s">
        <v>798</v>
      </c>
    </row>
    <row r="146" spans="1:20" s="25" customFormat="1" ht="33.75" x14ac:dyDescent="0.25">
      <c r="A146" s="28"/>
      <c r="B146" s="28" t="s">
        <v>375</v>
      </c>
      <c r="C146" s="28" t="s">
        <v>376</v>
      </c>
      <c r="D146" s="28" t="s">
        <v>341</v>
      </c>
      <c r="E146" s="27" t="s">
        <v>333</v>
      </c>
      <c r="F146" s="27" t="s">
        <v>168</v>
      </c>
      <c r="G146" s="27" t="s">
        <v>352</v>
      </c>
      <c r="H146" s="27" t="s">
        <v>1660</v>
      </c>
      <c r="I146" s="27" t="s">
        <v>391</v>
      </c>
      <c r="J146" s="27" t="s">
        <v>357</v>
      </c>
      <c r="K146" s="27" t="s">
        <v>362</v>
      </c>
      <c r="L146" s="27" t="s">
        <v>373</v>
      </c>
      <c r="M146" s="27" t="s">
        <v>392</v>
      </c>
      <c r="N146" s="27" t="s">
        <v>393</v>
      </c>
      <c r="O146" s="27" t="s">
        <v>366</v>
      </c>
      <c r="P146" s="27" t="s">
        <v>170</v>
      </c>
      <c r="Q146" s="28" t="s">
        <v>394</v>
      </c>
      <c r="R146" s="28" t="s">
        <v>395</v>
      </c>
      <c r="S146" s="27" t="s">
        <v>293</v>
      </c>
      <c r="T146" s="28" t="s">
        <v>1544</v>
      </c>
    </row>
    <row r="147" spans="1:20" s="25" customFormat="1" ht="78.75" x14ac:dyDescent="0.25">
      <c r="A147" s="20" t="s">
        <v>1334</v>
      </c>
      <c r="B147" s="20" t="s">
        <v>290</v>
      </c>
      <c r="C147" s="20" t="s">
        <v>2304</v>
      </c>
      <c r="D147" s="20" t="s">
        <v>341</v>
      </c>
      <c r="E147" s="18" t="s">
        <v>290</v>
      </c>
      <c r="F147" s="18" t="s">
        <v>168</v>
      </c>
      <c r="G147" s="18" t="s">
        <v>756</v>
      </c>
      <c r="H147" s="18" t="s">
        <v>1673</v>
      </c>
      <c r="I147" s="18" t="s">
        <v>2129</v>
      </c>
      <c r="J147" s="18" t="s">
        <v>355</v>
      </c>
      <c r="K147" s="18" t="s">
        <v>1341</v>
      </c>
      <c r="L147" s="18" t="s">
        <v>2305</v>
      </c>
      <c r="M147" s="18" t="s">
        <v>2306</v>
      </c>
      <c r="N147" s="18" t="s">
        <v>2307</v>
      </c>
      <c r="O147" s="18" t="s">
        <v>366</v>
      </c>
      <c r="P147" s="27" t="s">
        <v>170</v>
      </c>
      <c r="Q147" s="20" t="s">
        <v>2308</v>
      </c>
      <c r="R147" s="20" t="s">
        <v>2309</v>
      </c>
      <c r="S147" s="18" t="s">
        <v>293</v>
      </c>
      <c r="T147" s="20" t="s">
        <v>2310</v>
      </c>
    </row>
    <row r="148" spans="1:20" s="25" customFormat="1" ht="33.75" x14ac:dyDescent="0.25">
      <c r="A148" s="28"/>
      <c r="B148" s="28" t="s">
        <v>316</v>
      </c>
      <c r="C148" s="28" t="s">
        <v>692</v>
      </c>
      <c r="D148" s="28" t="s">
        <v>342</v>
      </c>
      <c r="E148" s="27" t="s">
        <v>316</v>
      </c>
      <c r="F148" s="27" t="s">
        <v>348</v>
      </c>
      <c r="G148" s="27" t="s">
        <v>352</v>
      </c>
      <c r="H148" s="27" t="s">
        <v>1654</v>
      </c>
      <c r="I148" s="27" t="s">
        <v>693</v>
      </c>
      <c r="J148" s="27" t="s">
        <v>360</v>
      </c>
      <c r="K148" s="27" t="s">
        <v>363</v>
      </c>
      <c r="L148" s="27" t="s">
        <v>694</v>
      </c>
      <c r="M148" s="27" t="s">
        <v>695</v>
      </c>
      <c r="N148" s="27" t="s">
        <v>696</v>
      </c>
      <c r="O148" s="27" t="s">
        <v>366</v>
      </c>
      <c r="P148" s="27" t="s">
        <v>170</v>
      </c>
      <c r="Q148" s="28" t="s">
        <v>316</v>
      </c>
      <c r="R148" s="28" t="s">
        <v>697</v>
      </c>
      <c r="S148" s="27" t="s">
        <v>293</v>
      </c>
      <c r="T148" s="28" t="s">
        <v>698</v>
      </c>
    </row>
    <row r="149" spans="1:20" s="25" customFormat="1" ht="22.5" x14ac:dyDescent="0.25">
      <c r="A149" s="28"/>
      <c r="B149" s="28" t="s">
        <v>678</v>
      </c>
      <c r="C149" s="28" t="s">
        <v>747</v>
      </c>
      <c r="D149" s="28" t="s">
        <v>341</v>
      </c>
      <c r="E149" s="27" t="s">
        <v>678</v>
      </c>
      <c r="F149" s="27" t="s">
        <v>348</v>
      </c>
      <c r="G149" s="27" t="s">
        <v>352</v>
      </c>
      <c r="H149" s="27" t="s">
        <v>1658</v>
      </c>
      <c r="I149" s="27" t="s">
        <v>748</v>
      </c>
      <c r="J149" s="27" t="s">
        <v>357</v>
      </c>
      <c r="K149" s="27" t="s">
        <v>363</v>
      </c>
      <c r="L149" s="27" t="s">
        <v>749</v>
      </c>
      <c r="M149" s="27" t="s">
        <v>750</v>
      </c>
      <c r="N149" s="27" t="s">
        <v>751</v>
      </c>
      <c r="O149" s="27" t="s">
        <v>366</v>
      </c>
      <c r="P149" s="27" t="s">
        <v>170</v>
      </c>
      <c r="Q149" s="31" t="s">
        <v>752</v>
      </c>
      <c r="R149" s="28" t="s">
        <v>753</v>
      </c>
      <c r="S149" s="27" t="s">
        <v>293</v>
      </c>
      <c r="T149" s="31" t="s">
        <v>754</v>
      </c>
    </row>
    <row r="150" spans="1:20" s="25" customFormat="1" ht="56.25" x14ac:dyDescent="0.25">
      <c r="A150" s="20" t="s">
        <v>2118</v>
      </c>
      <c r="B150" s="20" t="s">
        <v>337</v>
      </c>
      <c r="C150" s="20" t="s">
        <v>2311</v>
      </c>
      <c r="D150" s="20" t="s">
        <v>342</v>
      </c>
      <c r="E150" s="18" t="s">
        <v>337</v>
      </c>
      <c r="F150" s="18" t="s">
        <v>348</v>
      </c>
      <c r="G150" s="18" t="s">
        <v>1776</v>
      </c>
      <c r="H150" s="18" t="s">
        <v>1686</v>
      </c>
      <c r="I150" s="18" t="s">
        <v>2312</v>
      </c>
      <c r="J150" s="18" t="s">
        <v>357</v>
      </c>
      <c r="K150" s="18" t="s">
        <v>1537</v>
      </c>
      <c r="L150" s="18" t="s">
        <v>2313</v>
      </c>
      <c r="M150" s="18" t="s">
        <v>2314</v>
      </c>
      <c r="N150" s="18" t="s">
        <v>2315</v>
      </c>
      <c r="O150" s="18" t="s">
        <v>366</v>
      </c>
      <c r="P150" s="27" t="s">
        <v>170</v>
      </c>
      <c r="Q150" s="20" t="s">
        <v>2316</v>
      </c>
      <c r="R150" s="20" t="s">
        <v>2317</v>
      </c>
      <c r="S150" s="18" t="s">
        <v>293</v>
      </c>
      <c r="T150" s="20" t="s">
        <v>2318</v>
      </c>
    </row>
    <row r="151" spans="1:20" s="25" customFormat="1" ht="33.75" x14ac:dyDescent="0.25">
      <c r="A151" s="28" t="s">
        <v>338</v>
      </c>
      <c r="B151" s="28" t="s">
        <v>337</v>
      </c>
      <c r="C151" s="28" t="s">
        <v>664</v>
      </c>
      <c r="D151" s="28" t="s">
        <v>342</v>
      </c>
      <c r="E151" s="27" t="s">
        <v>337</v>
      </c>
      <c r="F151" s="27" t="s">
        <v>348</v>
      </c>
      <c r="G151" s="27" t="s">
        <v>352</v>
      </c>
      <c r="H151" s="27" t="s">
        <v>1668</v>
      </c>
      <c r="I151" s="27" t="s">
        <v>665</v>
      </c>
      <c r="J151" s="27" t="s">
        <v>356</v>
      </c>
      <c r="K151" s="27" t="s">
        <v>362</v>
      </c>
      <c r="L151" s="27" t="s">
        <v>666</v>
      </c>
      <c r="M151" s="27" t="s">
        <v>667</v>
      </c>
      <c r="N151" s="27" t="s">
        <v>668</v>
      </c>
      <c r="O151" s="27" t="s">
        <v>366</v>
      </c>
      <c r="P151" s="27" t="s">
        <v>170</v>
      </c>
      <c r="Q151" s="28" t="s">
        <v>313</v>
      </c>
      <c r="R151" s="28" t="s">
        <v>669</v>
      </c>
      <c r="S151" s="27" t="s">
        <v>293</v>
      </c>
      <c r="T151" s="28" t="s">
        <v>2670</v>
      </c>
    </row>
    <row r="152" spans="1:20" s="25" customFormat="1" ht="67.5" x14ac:dyDescent="0.25">
      <c r="A152" s="28" t="s">
        <v>2344</v>
      </c>
      <c r="B152" s="28" t="s">
        <v>1630</v>
      </c>
      <c r="C152" s="28" t="s">
        <v>2671</v>
      </c>
      <c r="D152" s="28" t="s">
        <v>343</v>
      </c>
      <c r="E152" s="27" t="s">
        <v>1630</v>
      </c>
      <c r="F152" s="27" t="s">
        <v>348</v>
      </c>
      <c r="G152" s="27" t="s">
        <v>2369</v>
      </c>
      <c r="H152" s="27" t="s">
        <v>1668</v>
      </c>
      <c r="I152" s="27" t="s">
        <v>2672</v>
      </c>
      <c r="J152" s="27" t="s">
        <v>356</v>
      </c>
      <c r="K152" s="27" t="s">
        <v>1537</v>
      </c>
      <c r="L152" s="27" t="s">
        <v>2673</v>
      </c>
      <c r="M152" s="27" t="s">
        <v>2674</v>
      </c>
      <c r="N152" s="27" t="s">
        <v>2675</v>
      </c>
      <c r="O152" s="27" t="s">
        <v>368</v>
      </c>
      <c r="P152" s="27" t="s">
        <v>170</v>
      </c>
      <c r="Q152" s="28" t="s">
        <v>2099</v>
      </c>
      <c r="R152" s="28" t="s">
        <v>2676</v>
      </c>
      <c r="S152" s="27" t="s">
        <v>293</v>
      </c>
      <c r="T152" s="28" t="s">
        <v>2677</v>
      </c>
    </row>
    <row r="153" spans="1:20" s="25" customFormat="1" ht="67.5" x14ac:dyDescent="0.25">
      <c r="A153" s="28" t="s">
        <v>2345</v>
      </c>
      <c r="B153" s="28" t="s">
        <v>1404</v>
      </c>
      <c r="C153" s="28" t="s">
        <v>60</v>
      </c>
      <c r="D153" s="28" t="s">
        <v>341</v>
      </c>
      <c r="E153" s="27" t="s">
        <v>1404</v>
      </c>
      <c r="F153" s="27" t="s">
        <v>168</v>
      </c>
      <c r="G153" s="27" t="s">
        <v>2275</v>
      </c>
      <c r="H153" s="27" t="s">
        <v>2276</v>
      </c>
      <c r="I153" s="27" t="s">
        <v>60</v>
      </c>
      <c r="J153" s="27" t="s">
        <v>360</v>
      </c>
      <c r="K153" s="27" t="s">
        <v>362</v>
      </c>
      <c r="L153" s="27" t="s">
        <v>60</v>
      </c>
      <c r="M153" s="27" t="s">
        <v>2678</v>
      </c>
      <c r="N153" s="27" t="s">
        <v>2679</v>
      </c>
      <c r="O153" s="27" t="s">
        <v>60</v>
      </c>
      <c r="P153" s="27" t="s">
        <v>202</v>
      </c>
      <c r="Q153" s="28" t="s">
        <v>2680</v>
      </c>
      <c r="R153" s="28" t="s">
        <v>2681</v>
      </c>
      <c r="S153" s="27" t="s">
        <v>293</v>
      </c>
      <c r="T153" s="28" t="s">
        <v>2682</v>
      </c>
    </row>
    <row r="154" spans="1:20" x14ac:dyDescent="0.25">
      <c r="A154" s="149" t="s">
        <v>1690</v>
      </c>
      <c r="B154" s="149"/>
      <c r="C154" s="149"/>
      <c r="D154" s="149"/>
      <c r="E154" s="149"/>
      <c r="F154" s="149"/>
      <c r="G154" s="149"/>
      <c r="H154" s="149"/>
      <c r="I154" s="149"/>
      <c r="J154" s="149"/>
      <c r="K154" s="149"/>
      <c r="L154" s="149"/>
      <c r="M154" s="149"/>
      <c r="N154" s="149"/>
      <c r="O154" s="149"/>
      <c r="P154" s="149"/>
      <c r="Q154" s="149"/>
      <c r="R154" s="149"/>
    </row>
    <row r="155" spans="1:20" x14ac:dyDescent="0.25">
      <c r="Q155" s="14"/>
    </row>
    <row r="156" spans="1:20" x14ac:dyDescent="0.25">
      <c r="Q156" s="14"/>
    </row>
    <row r="157" spans="1:20" x14ac:dyDescent="0.25">
      <c r="Q157" s="14"/>
    </row>
    <row r="158" spans="1:20" x14ac:dyDescent="0.25">
      <c r="Q158" s="14"/>
    </row>
    <row r="159" spans="1:20" x14ac:dyDescent="0.25">
      <c r="Q159" s="14"/>
    </row>
    <row r="160" spans="1:20" x14ac:dyDescent="0.25">
      <c r="Q160" s="14"/>
    </row>
    <row r="161" spans="17:17" x14ac:dyDescent="0.25">
      <c r="Q161" s="14"/>
    </row>
    <row r="162" spans="17:17" x14ac:dyDescent="0.25">
      <c r="Q162" s="14"/>
    </row>
    <row r="163" spans="17:17" x14ac:dyDescent="0.25">
      <c r="Q163" s="14"/>
    </row>
    <row r="164" spans="17:17" x14ac:dyDescent="0.25">
      <c r="Q164" s="14"/>
    </row>
    <row r="165" spans="17:17" x14ac:dyDescent="0.25">
      <c r="Q165" s="14"/>
    </row>
    <row r="166" spans="17:17" x14ac:dyDescent="0.25">
      <c r="Q166" s="14"/>
    </row>
    <row r="167" spans="17:17" x14ac:dyDescent="0.25">
      <c r="Q167" s="14"/>
    </row>
    <row r="168" spans="17:17" x14ac:dyDescent="0.25">
      <c r="Q168" s="14"/>
    </row>
    <row r="169" spans="17:17" x14ac:dyDescent="0.25">
      <c r="Q169" s="14"/>
    </row>
    <row r="170" spans="17:17" x14ac:dyDescent="0.25">
      <c r="Q170" s="14"/>
    </row>
    <row r="171" spans="17:17" x14ac:dyDescent="0.25">
      <c r="Q171" s="14"/>
    </row>
    <row r="172" spans="17:17" x14ac:dyDescent="0.25">
      <c r="Q172" s="14"/>
    </row>
    <row r="173" spans="17:17" x14ac:dyDescent="0.25">
      <c r="Q173" s="14"/>
    </row>
    <row r="174" spans="17:17" x14ac:dyDescent="0.25">
      <c r="Q174" s="14"/>
    </row>
    <row r="175" spans="17:17" x14ac:dyDescent="0.25">
      <c r="Q175" s="14"/>
    </row>
    <row r="176" spans="17:17" x14ac:dyDescent="0.25">
      <c r="Q176" s="14"/>
    </row>
    <row r="177" spans="17:17" x14ac:dyDescent="0.25">
      <c r="Q177" s="14"/>
    </row>
    <row r="178" spans="17:17" x14ac:dyDescent="0.25">
      <c r="Q178" s="14"/>
    </row>
    <row r="179" spans="17:17" x14ac:dyDescent="0.25">
      <c r="Q179" s="14"/>
    </row>
    <row r="180" spans="17:17" x14ac:dyDescent="0.25">
      <c r="Q180" s="14"/>
    </row>
    <row r="181" spans="17:17" x14ac:dyDescent="0.25">
      <c r="Q181" s="14"/>
    </row>
    <row r="182" spans="17:17" x14ac:dyDescent="0.25">
      <c r="Q182" s="14"/>
    </row>
    <row r="183" spans="17:17" x14ac:dyDescent="0.25">
      <c r="Q183" s="14"/>
    </row>
  </sheetData>
  <sortState xmlns:xlrd2="http://schemas.microsoft.com/office/spreadsheetml/2017/richdata2" ref="A6:T153">
    <sortCondition ref="B6:B153"/>
    <sortCondition ref="A6:A153"/>
  </sortState>
  <mergeCells count="6">
    <mergeCell ref="A154:R154"/>
    <mergeCell ref="A1:T1"/>
    <mergeCell ref="A2:T2"/>
    <mergeCell ref="A3:T3"/>
    <mergeCell ref="A4:L4"/>
    <mergeCell ref="M4:T4"/>
  </mergeCells>
  <pageMargins left="0.7" right="0.7" top="0.75" bottom="0.75" header="0.3" footer="0.3"/>
  <pageSetup orientation="portrait" horizontalDpi="4294967293" verticalDpi="0" r:id="rId1"/>
  <extLst>
    <ext xmlns:x14="http://schemas.microsoft.com/office/spreadsheetml/2009/9/main" uri="{CCE6A557-97BC-4b89-ADB6-D9C93CAAB3DF}">
      <x14:dataValidations xmlns:xm="http://schemas.microsoft.com/office/excel/2006/main" count="9">
        <x14:dataValidation type="list" allowBlank="1" showInputMessage="1" showErrorMessage="1" xr:uid="{E4817C43-F83B-4FA8-A202-6F2E17DFC89B}">
          <x14:formula1>
            <xm:f>Settings!$A$27:$B$27</xm:f>
          </x14:formula1>
          <xm:sqref>P6:P49 P51:P153</xm:sqref>
        </x14:dataValidation>
        <x14:dataValidation type="list" allowBlank="1" showInputMessage="1" showErrorMessage="1" xr:uid="{0668553F-0C9D-48AC-A4F9-59C88DDD6411}">
          <x14:formula1>
            <xm:f>Settings!$A$5:$G$5</xm:f>
          </x14:formula1>
          <xm:sqref>S6:S49 S51:S153</xm:sqref>
        </x14:dataValidation>
        <x14:dataValidation type="list" allowBlank="1" showInputMessage="1" showErrorMessage="1" xr:uid="{EAF6392F-784E-4776-837F-FEBD773AAE27}">
          <x14:formula1>
            <xm:f>Settings!$A$23:$I$23</xm:f>
          </x14:formula1>
          <xm:sqref>P50 O6:O49 O51:O153</xm:sqref>
        </x14:dataValidation>
        <x14:dataValidation type="list" allowBlank="1" showInputMessage="1" showErrorMessage="1" xr:uid="{CB154891-1C81-48EB-B3C1-BF9CB7A71007}">
          <x14:formula1>
            <xm:f>Settings!$A$11:$G$11</xm:f>
          </x14:formula1>
          <xm:sqref>D6:D153</xm:sqref>
        </x14:dataValidation>
        <x14:dataValidation type="list" allowBlank="1" showInputMessage="1" showErrorMessage="1" xr:uid="{63D042FB-58EB-4BAD-9B9C-B04477DB75F9}">
          <x14:formula1>
            <xm:f>Settings!$A$17:$I$17</xm:f>
          </x14:formula1>
          <xm:sqref>J6:J153</xm:sqref>
        </x14:dataValidation>
        <x14:dataValidation type="list" allowBlank="1" showInputMessage="1" showErrorMessage="1" xr:uid="{4DD53F86-E207-4503-A0D3-59BDB561A503}">
          <x14:formula1>
            <xm:f>Settings!$A$13:$D$13</xm:f>
          </x14:formula1>
          <xm:sqref>F6:F153</xm:sqref>
        </x14:dataValidation>
        <x14:dataValidation type="list" allowBlank="1" showInputMessage="1" showErrorMessage="1" xr:uid="{B3E0159E-4186-4C4A-B0BB-1531938C9B84}">
          <x14:formula1>
            <xm:f>Settings!$A$19:$I$19</xm:f>
          </x14:formula1>
          <xm:sqref>K6:K153</xm:sqref>
        </x14:dataValidation>
        <x14:dataValidation type="list" allowBlank="1" showInputMessage="1" showErrorMessage="1" xr:uid="{955070D4-DBC0-454C-A938-2DA621138A41}">
          <x14:formula1>
            <xm:f>Settings!$A$15:$U$15</xm:f>
          </x14:formula1>
          <xm:sqref>G6:G153</xm:sqref>
        </x14:dataValidation>
        <x14:dataValidation type="list" allowBlank="1" showInputMessage="1" showErrorMessage="1" xr:uid="{A0C3A4FB-1F2E-4F81-A5DD-6BBB3EECED1A}">
          <x14:formula1>
            <xm:f>Settings!$A$29:$A$103</xm:f>
          </x14:formula1>
          <xm:sqref>H6:H153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4818C-1A19-4B15-BF29-2591028E8CB5}">
  <dimension ref="A1:U51"/>
  <sheetViews>
    <sheetView tabSelected="1" topLeftCell="A9" zoomScaleNormal="100" workbookViewId="0">
      <selection activeCell="P15" sqref="P15"/>
    </sheetView>
  </sheetViews>
  <sheetFormatPr defaultRowHeight="15" x14ac:dyDescent="0.25"/>
  <cols>
    <col min="1" max="1" width="15.28515625" customWidth="1"/>
    <col min="2" max="2" width="16.42578125" customWidth="1"/>
    <col min="3" max="3" width="16.7109375" customWidth="1"/>
    <col min="4" max="4" width="8.140625" customWidth="1"/>
    <col min="5" max="5" width="10.42578125" customWidth="1"/>
    <col min="6" max="6" width="12.5703125" customWidth="1"/>
    <col min="7" max="8" width="10.140625" customWidth="1"/>
    <col min="9" max="9" width="14.28515625" customWidth="1"/>
    <col min="10" max="10" width="9" customWidth="1"/>
    <col min="11" max="11" width="10.85546875" customWidth="1"/>
    <col min="12" max="12" width="23" customWidth="1"/>
    <col min="13" max="13" width="17.85546875" customWidth="1"/>
    <col min="14" max="14" width="18" customWidth="1"/>
    <col min="15" max="15" width="8.85546875" customWidth="1"/>
    <col min="16" max="16" width="12.42578125" customWidth="1"/>
    <col min="17" max="17" width="6.42578125" customWidth="1"/>
    <col min="18" max="18" width="22.5703125" customWidth="1"/>
    <col min="19" max="19" width="15.28515625" customWidth="1"/>
    <col min="20" max="20" width="7.85546875" style="13" customWidth="1"/>
    <col min="21" max="21" width="132.140625" customWidth="1"/>
  </cols>
  <sheetData>
    <row r="1" spans="1:21" ht="24" x14ac:dyDescent="0.25">
      <c r="A1" s="98" t="s">
        <v>150</v>
      </c>
      <c r="B1" s="98"/>
      <c r="C1" s="98"/>
      <c r="D1" s="98"/>
      <c r="E1" s="98"/>
      <c r="F1" s="98"/>
      <c r="G1" s="98"/>
      <c r="H1" s="98"/>
      <c r="I1" s="98"/>
      <c r="J1" s="98"/>
      <c r="K1" s="98"/>
      <c r="L1" s="98"/>
      <c r="M1" s="98"/>
      <c r="N1" s="98"/>
      <c r="O1" s="98"/>
      <c r="P1" s="98"/>
      <c r="Q1" s="98"/>
      <c r="R1" s="98"/>
      <c r="S1" s="98"/>
      <c r="T1" s="98"/>
      <c r="U1" s="98"/>
    </row>
    <row r="2" spans="1:21" ht="19.5" x14ac:dyDescent="0.25">
      <c r="A2" s="99" t="s">
        <v>144</v>
      </c>
      <c r="B2" s="99"/>
      <c r="C2" s="99"/>
      <c r="D2" s="99"/>
      <c r="E2" s="99"/>
      <c r="F2" s="99"/>
      <c r="G2" s="99"/>
      <c r="H2" s="99"/>
      <c r="I2" s="99"/>
      <c r="J2" s="99"/>
      <c r="K2" s="99"/>
      <c r="L2" s="99"/>
      <c r="M2" s="99"/>
      <c r="N2" s="99"/>
      <c r="O2" s="99"/>
      <c r="P2" s="99"/>
      <c r="Q2" s="99"/>
      <c r="R2" s="99"/>
      <c r="S2" s="99"/>
      <c r="T2" s="99"/>
      <c r="U2" s="99"/>
    </row>
    <row r="3" spans="1:21" ht="17.25" x14ac:dyDescent="0.25">
      <c r="A3" s="154" t="s">
        <v>145</v>
      </c>
      <c r="B3" s="154"/>
      <c r="C3" s="154"/>
      <c r="D3" s="154"/>
      <c r="E3" s="154"/>
      <c r="F3" s="154"/>
      <c r="G3" s="154"/>
      <c r="H3" s="154"/>
      <c r="I3" s="154"/>
      <c r="J3" s="154"/>
      <c r="K3" s="154"/>
      <c r="L3" s="154"/>
      <c r="M3" s="154"/>
      <c r="N3" s="154"/>
      <c r="O3" s="154"/>
      <c r="P3" s="154"/>
      <c r="Q3" s="154"/>
      <c r="R3" s="154"/>
      <c r="S3" s="154"/>
      <c r="T3" s="154"/>
      <c r="U3" s="154"/>
    </row>
    <row r="4" spans="1:21" ht="18" thickBot="1" x14ac:dyDescent="0.3">
      <c r="A4" s="152" t="s">
        <v>327</v>
      </c>
      <c r="B4" s="100"/>
      <c r="C4" s="100"/>
      <c r="D4" s="100"/>
      <c r="E4" s="100"/>
      <c r="F4" s="100"/>
      <c r="G4" s="100"/>
      <c r="H4" s="100"/>
      <c r="I4" s="100"/>
      <c r="J4" s="100"/>
      <c r="K4" s="100"/>
      <c r="L4" s="100"/>
      <c r="M4" s="100"/>
      <c r="N4" s="153"/>
      <c r="O4" s="152" t="s">
        <v>328</v>
      </c>
      <c r="P4" s="100"/>
      <c r="Q4" s="100"/>
      <c r="R4" s="100"/>
      <c r="S4" s="100"/>
      <c r="T4" s="100"/>
      <c r="U4" s="100"/>
    </row>
    <row r="5" spans="1:21" ht="15.75" thickTop="1" x14ac:dyDescent="0.25">
      <c r="A5" s="8" t="s">
        <v>369</v>
      </c>
      <c r="B5" s="8" t="s">
        <v>329</v>
      </c>
      <c r="C5" s="8" t="s">
        <v>317</v>
      </c>
      <c r="D5" s="12" t="s">
        <v>167</v>
      </c>
      <c r="E5" s="12" t="s">
        <v>318</v>
      </c>
      <c r="F5" s="12" t="s">
        <v>319</v>
      </c>
      <c r="G5" s="12" t="s">
        <v>320</v>
      </c>
      <c r="H5" s="12" t="s">
        <v>1689</v>
      </c>
      <c r="I5" s="12" t="s">
        <v>321</v>
      </c>
      <c r="J5" s="12" t="s">
        <v>322</v>
      </c>
      <c r="K5" s="12" t="s">
        <v>370</v>
      </c>
      <c r="L5" s="12" t="s">
        <v>371</v>
      </c>
      <c r="M5" s="12" t="s">
        <v>323</v>
      </c>
      <c r="N5" s="17" t="s">
        <v>325</v>
      </c>
      <c r="O5" s="12" t="s">
        <v>1266</v>
      </c>
      <c r="P5" s="10" t="s">
        <v>147</v>
      </c>
      <c r="Q5" s="12" t="s">
        <v>1329</v>
      </c>
      <c r="R5" s="10" t="s">
        <v>330</v>
      </c>
      <c r="S5" s="10" t="s">
        <v>148</v>
      </c>
      <c r="T5" s="12" t="s">
        <v>27</v>
      </c>
      <c r="U5" s="8" t="s">
        <v>149</v>
      </c>
    </row>
    <row r="6" spans="1:21" s="25" customFormat="1" ht="33.75" x14ac:dyDescent="0.25">
      <c r="A6" s="26" t="s">
        <v>1422</v>
      </c>
      <c r="B6" s="26" t="s">
        <v>1330</v>
      </c>
      <c r="C6" s="26" t="s">
        <v>1423</v>
      </c>
      <c r="D6" s="18" t="s">
        <v>341</v>
      </c>
      <c r="E6" s="18" t="s">
        <v>1330</v>
      </c>
      <c r="F6" s="18" t="s">
        <v>349</v>
      </c>
      <c r="G6" s="18" t="s">
        <v>756</v>
      </c>
      <c r="H6" s="18" t="s">
        <v>1676</v>
      </c>
      <c r="I6" s="18" t="s">
        <v>1424</v>
      </c>
      <c r="J6" s="18" t="s">
        <v>355</v>
      </c>
      <c r="K6" s="18" t="s">
        <v>1341</v>
      </c>
      <c r="L6" s="18" t="s">
        <v>1425</v>
      </c>
      <c r="M6" s="18" t="s">
        <v>1426</v>
      </c>
      <c r="N6" s="23" t="s">
        <v>1427</v>
      </c>
      <c r="O6" s="18" t="s">
        <v>366</v>
      </c>
      <c r="P6" s="26" t="s">
        <v>0</v>
      </c>
      <c r="Q6" s="18" t="s">
        <v>170</v>
      </c>
      <c r="R6" s="26" t="s">
        <v>1433</v>
      </c>
      <c r="S6" s="26" t="s">
        <v>1428</v>
      </c>
      <c r="T6" s="18" t="s">
        <v>161</v>
      </c>
      <c r="U6" s="26" t="s">
        <v>1434</v>
      </c>
    </row>
    <row r="7" spans="1:21" s="25" customFormat="1" ht="45" x14ac:dyDescent="0.25">
      <c r="A7" s="26" t="s">
        <v>1435</v>
      </c>
      <c r="B7" s="26" t="s">
        <v>46</v>
      </c>
      <c r="C7" s="26" t="s">
        <v>1436</v>
      </c>
      <c r="D7" s="18" t="s">
        <v>341</v>
      </c>
      <c r="E7" s="18" t="s">
        <v>46</v>
      </c>
      <c r="F7" s="18" t="s">
        <v>168</v>
      </c>
      <c r="G7" s="18" t="s">
        <v>756</v>
      </c>
      <c r="H7" s="18" t="s">
        <v>1653</v>
      </c>
      <c r="I7" s="18" t="s">
        <v>560</v>
      </c>
      <c r="J7" s="18" t="s">
        <v>355</v>
      </c>
      <c r="K7" s="18" t="s">
        <v>362</v>
      </c>
      <c r="L7" s="18" t="s">
        <v>1438</v>
      </c>
      <c r="M7" s="18" t="s">
        <v>1439</v>
      </c>
      <c r="N7" s="23" t="s">
        <v>1440</v>
      </c>
      <c r="O7" s="18" t="s">
        <v>366</v>
      </c>
      <c r="P7" s="26" t="s">
        <v>0</v>
      </c>
      <c r="Q7" s="18" t="s">
        <v>170</v>
      </c>
      <c r="R7" s="26" t="s">
        <v>1437</v>
      </c>
      <c r="S7" s="26" t="s">
        <v>1429</v>
      </c>
      <c r="T7" s="18" t="s">
        <v>161</v>
      </c>
      <c r="U7" s="26" t="s">
        <v>1441</v>
      </c>
    </row>
    <row r="8" spans="1:21" s="25" customFormat="1" ht="45" x14ac:dyDescent="0.25">
      <c r="A8" s="26" t="s">
        <v>1442</v>
      </c>
      <c r="B8" s="26" t="s">
        <v>1331</v>
      </c>
      <c r="C8" s="26" t="s">
        <v>1443</v>
      </c>
      <c r="D8" s="18" t="s">
        <v>341</v>
      </c>
      <c r="E8" s="18" t="s">
        <v>1331</v>
      </c>
      <c r="F8" s="18" t="s">
        <v>168</v>
      </c>
      <c r="G8" s="18" t="s">
        <v>1444</v>
      </c>
      <c r="H8" s="18" t="s">
        <v>1671</v>
      </c>
      <c r="I8" s="18" t="s">
        <v>1445</v>
      </c>
      <c r="J8" s="18" t="s">
        <v>356</v>
      </c>
      <c r="K8" s="18" t="s">
        <v>362</v>
      </c>
      <c r="L8" s="18" t="s">
        <v>1446</v>
      </c>
      <c r="M8" s="18" t="s">
        <v>1447</v>
      </c>
      <c r="N8" s="23" t="s">
        <v>1448</v>
      </c>
      <c r="O8" s="18" t="s">
        <v>366</v>
      </c>
      <c r="P8" s="26" t="s">
        <v>0</v>
      </c>
      <c r="Q8" s="18" t="s">
        <v>170</v>
      </c>
      <c r="R8" s="26" t="s">
        <v>1449</v>
      </c>
      <c r="S8" s="26" t="s">
        <v>1430</v>
      </c>
      <c r="T8" s="18" t="s">
        <v>161</v>
      </c>
      <c r="U8" s="26" t="s">
        <v>1450</v>
      </c>
    </row>
    <row r="9" spans="1:21" s="25" customFormat="1" ht="56.25" x14ac:dyDescent="0.25">
      <c r="A9" s="76" t="s">
        <v>231</v>
      </c>
      <c r="B9" s="76" t="s">
        <v>228</v>
      </c>
      <c r="C9" s="76" t="s">
        <v>383</v>
      </c>
      <c r="D9" s="77" t="s">
        <v>342</v>
      </c>
      <c r="E9" s="18" t="s">
        <v>228</v>
      </c>
      <c r="F9" s="77" t="s">
        <v>348</v>
      </c>
      <c r="G9" s="77" t="s">
        <v>352</v>
      </c>
      <c r="H9" s="77" t="s">
        <v>1653</v>
      </c>
      <c r="I9" s="18" t="s">
        <v>1530</v>
      </c>
      <c r="J9" s="77" t="s">
        <v>357</v>
      </c>
      <c r="K9" s="77" t="s">
        <v>363</v>
      </c>
      <c r="L9" s="78" t="s">
        <v>373</v>
      </c>
      <c r="M9" s="18" t="s">
        <v>324</v>
      </c>
      <c r="N9" s="23" t="s">
        <v>384</v>
      </c>
      <c r="O9" s="18" t="s">
        <v>366</v>
      </c>
      <c r="P9" s="26" t="s">
        <v>157</v>
      </c>
      <c r="Q9" s="18" t="s">
        <v>170</v>
      </c>
      <c r="R9" s="26" t="s">
        <v>412</v>
      </c>
      <c r="S9" s="26" t="s">
        <v>229</v>
      </c>
      <c r="T9" s="18" t="s">
        <v>164</v>
      </c>
      <c r="U9" s="76" t="s">
        <v>401</v>
      </c>
    </row>
    <row r="10" spans="1:21" s="25" customFormat="1" ht="45" x14ac:dyDescent="0.25">
      <c r="A10" s="26" t="s">
        <v>1334</v>
      </c>
      <c r="B10" s="26" t="s">
        <v>1335</v>
      </c>
      <c r="C10" s="26" t="s">
        <v>1451</v>
      </c>
      <c r="D10" s="18" t="s">
        <v>341</v>
      </c>
      <c r="E10" s="18" t="s">
        <v>1332</v>
      </c>
      <c r="F10" s="18" t="s">
        <v>168</v>
      </c>
      <c r="G10" s="18" t="s">
        <v>756</v>
      </c>
      <c r="H10" s="18" t="s">
        <v>1696</v>
      </c>
      <c r="I10" s="18" t="s">
        <v>1452</v>
      </c>
      <c r="J10" s="18" t="s">
        <v>355</v>
      </c>
      <c r="K10" s="18" t="s">
        <v>363</v>
      </c>
      <c r="L10" s="18" t="s">
        <v>1453</v>
      </c>
      <c r="M10" s="18" t="s">
        <v>1454</v>
      </c>
      <c r="N10" s="23" t="s">
        <v>1455</v>
      </c>
      <c r="O10" s="18" t="s">
        <v>366</v>
      </c>
      <c r="P10" s="26" t="s">
        <v>0</v>
      </c>
      <c r="Q10" s="18" t="s">
        <v>170</v>
      </c>
      <c r="R10" s="26" t="s">
        <v>1456</v>
      </c>
      <c r="S10" s="26" t="s">
        <v>1457</v>
      </c>
      <c r="T10" s="18" t="s">
        <v>161</v>
      </c>
      <c r="U10" s="26" t="s">
        <v>1458</v>
      </c>
    </row>
    <row r="11" spans="1:21" s="75" customFormat="1" ht="33.75" x14ac:dyDescent="0.25">
      <c r="A11" s="26" t="s">
        <v>1402</v>
      </c>
      <c r="B11" s="26" t="s">
        <v>1401</v>
      </c>
      <c r="C11" s="26" t="s">
        <v>1403</v>
      </c>
      <c r="D11" s="18" t="s">
        <v>341</v>
      </c>
      <c r="E11" s="18" t="s">
        <v>1404</v>
      </c>
      <c r="F11" s="18" t="s">
        <v>348</v>
      </c>
      <c r="G11" s="18" t="s">
        <v>354</v>
      </c>
      <c r="H11" s="18" t="s">
        <v>1685</v>
      </c>
      <c r="I11" s="18" t="s">
        <v>1421</v>
      </c>
      <c r="J11" s="18" t="s">
        <v>360</v>
      </c>
      <c r="K11" s="18" t="s">
        <v>362</v>
      </c>
      <c r="L11" s="18" t="s">
        <v>1405</v>
      </c>
      <c r="M11" s="18" t="s">
        <v>827</v>
      </c>
      <c r="N11" s="23" t="s">
        <v>1420</v>
      </c>
      <c r="O11" s="18" t="s">
        <v>366</v>
      </c>
      <c r="P11" s="26" t="s">
        <v>157</v>
      </c>
      <c r="Q11" s="18" t="s">
        <v>202</v>
      </c>
      <c r="R11" s="79" t="s">
        <v>1406</v>
      </c>
      <c r="S11" s="79" t="s">
        <v>1407</v>
      </c>
      <c r="T11" s="18" t="s">
        <v>161</v>
      </c>
      <c r="U11" s="20" t="s">
        <v>1531</v>
      </c>
    </row>
    <row r="12" spans="1:21" s="25" customFormat="1" ht="45" x14ac:dyDescent="0.25">
      <c r="A12" s="26" t="s">
        <v>2330</v>
      </c>
      <c r="B12" s="26" t="s">
        <v>1395</v>
      </c>
      <c r="C12" s="26" t="s">
        <v>2891</v>
      </c>
      <c r="D12" s="18" t="s">
        <v>341</v>
      </c>
      <c r="E12" s="18" t="s">
        <v>1396</v>
      </c>
      <c r="F12" s="18" t="s">
        <v>348</v>
      </c>
      <c r="G12" s="18" t="s">
        <v>774</v>
      </c>
      <c r="H12" s="18" t="s">
        <v>1662</v>
      </c>
      <c r="I12" s="18" t="s">
        <v>1421</v>
      </c>
      <c r="J12" s="18" t="s">
        <v>360</v>
      </c>
      <c r="K12" s="18" t="s">
        <v>1341</v>
      </c>
      <c r="L12" s="18" t="s">
        <v>1397</v>
      </c>
      <c r="M12" s="18" t="s">
        <v>1398</v>
      </c>
      <c r="N12" s="23" t="s">
        <v>1399</v>
      </c>
      <c r="O12" s="18" t="s">
        <v>366</v>
      </c>
      <c r="P12" s="26" t="s">
        <v>157</v>
      </c>
      <c r="Q12" s="18" t="s">
        <v>202</v>
      </c>
      <c r="R12" s="26" t="s">
        <v>2892</v>
      </c>
      <c r="S12" s="26" t="s">
        <v>736</v>
      </c>
      <c r="T12" s="18" t="s">
        <v>1347</v>
      </c>
      <c r="U12" s="20" t="s">
        <v>2893</v>
      </c>
    </row>
    <row r="13" spans="1:21" s="25" customFormat="1" ht="45" x14ac:dyDescent="0.25">
      <c r="A13" s="26" t="s">
        <v>230</v>
      </c>
      <c r="B13" s="26" t="s">
        <v>156</v>
      </c>
      <c r="C13" s="26" t="s">
        <v>1519</v>
      </c>
      <c r="D13" s="18" t="s">
        <v>342</v>
      </c>
      <c r="E13" s="18" t="s">
        <v>156</v>
      </c>
      <c r="F13" s="18" t="s">
        <v>348</v>
      </c>
      <c r="G13" s="18" t="s">
        <v>352</v>
      </c>
      <c r="H13" s="18" t="s">
        <v>1675</v>
      </c>
      <c r="I13" s="18" t="s">
        <v>1520</v>
      </c>
      <c r="J13" s="18" t="s">
        <v>355</v>
      </c>
      <c r="K13" s="18" t="s">
        <v>363</v>
      </c>
      <c r="L13" s="18" t="s">
        <v>1521</v>
      </c>
      <c r="M13" s="18" t="s">
        <v>566</v>
      </c>
      <c r="N13" s="23" t="s">
        <v>1522</v>
      </c>
      <c r="O13" s="18" t="s">
        <v>366</v>
      </c>
      <c r="P13" s="26" t="s">
        <v>157</v>
      </c>
      <c r="Q13" s="18" t="s">
        <v>170</v>
      </c>
      <c r="R13" s="26" t="s">
        <v>567</v>
      </c>
      <c r="S13" s="26" t="s">
        <v>158</v>
      </c>
      <c r="T13" s="18" t="s">
        <v>164</v>
      </c>
      <c r="U13" s="20" t="s">
        <v>225</v>
      </c>
    </row>
    <row r="14" spans="1:21" s="25" customFormat="1" ht="45" x14ac:dyDescent="0.25">
      <c r="A14" s="26" t="s">
        <v>1388</v>
      </c>
      <c r="B14" s="26" t="s">
        <v>1389</v>
      </c>
      <c r="C14" s="26" t="s">
        <v>1394</v>
      </c>
      <c r="D14" s="18" t="s">
        <v>341</v>
      </c>
      <c r="E14" s="18" t="s">
        <v>1390</v>
      </c>
      <c r="F14" s="18" t="s">
        <v>349</v>
      </c>
      <c r="G14" s="18" t="s">
        <v>774</v>
      </c>
      <c r="H14" s="18" t="s">
        <v>1662</v>
      </c>
      <c r="I14" s="18" t="s">
        <v>1421</v>
      </c>
      <c r="J14" s="18" t="s">
        <v>360</v>
      </c>
      <c r="K14" s="18" t="s">
        <v>363</v>
      </c>
      <c r="L14" s="18" t="s">
        <v>1391</v>
      </c>
      <c r="M14" s="18" t="s">
        <v>1392</v>
      </c>
      <c r="N14" s="23" t="s">
        <v>1400</v>
      </c>
      <c r="O14" s="18" t="s">
        <v>366</v>
      </c>
      <c r="P14" s="26" t="s">
        <v>157</v>
      </c>
      <c r="Q14" s="18" t="s">
        <v>202</v>
      </c>
      <c r="R14" s="26" t="s">
        <v>1393</v>
      </c>
      <c r="S14" s="26" t="s">
        <v>735</v>
      </c>
      <c r="T14" s="18" t="s">
        <v>164</v>
      </c>
      <c r="U14" s="20" t="s">
        <v>1532</v>
      </c>
    </row>
    <row r="15" spans="1:21" s="25" customFormat="1" ht="56.25" x14ac:dyDescent="0.25">
      <c r="A15" s="26" t="s">
        <v>978</v>
      </c>
      <c r="B15" s="26" t="s">
        <v>286</v>
      </c>
      <c r="C15" s="26" t="s">
        <v>979</v>
      </c>
      <c r="D15" s="18" t="s">
        <v>341</v>
      </c>
      <c r="E15" s="18" t="s">
        <v>286</v>
      </c>
      <c r="F15" s="18" t="s">
        <v>168</v>
      </c>
      <c r="G15" s="18" t="s">
        <v>354</v>
      </c>
      <c r="H15" s="18" t="s">
        <v>1671</v>
      </c>
      <c r="I15" s="18" t="s">
        <v>1527</v>
      </c>
      <c r="J15" s="18" t="s">
        <v>357</v>
      </c>
      <c r="K15" s="18" t="s">
        <v>362</v>
      </c>
      <c r="L15" s="18" t="s">
        <v>1528</v>
      </c>
      <c r="M15" s="18" t="s">
        <v>981</v>
      </c>
      <c r="N15" s="23" t="s">
        <v>1529</v>
      </c>
      <c r="O15" s="18" t="s">
        <v>366</v>
      </c>
      <c r="P15" s="26" t="s">
        <v>157</v>
      </c>
      <c r="Q15" s="18" t="s">
        <v>170</v>
      </c>
      <c r="R15" s="26" t="s">
        <v>980</v>
      </c>
      <c r="S15" s="26" t="s">
        <v>734</v>
      </c>
      <c r="T15" s="18" t="s">
        <v>164</v>
      </c>
      <c r="U15" s="20" t="s">
        <v>1028</v>
      </c>
    </row>
    <row r="16" spans="1:21" s="25" customFormat="1" ht="45" x14ac:dyDescent="0.25">
      <c r="A16" s="26"/>
      <c r="B16" s="26" t="s">
        <v>1459</v>
      </c>
      <c r="C16" s="26" t="s">
        <v>1460</v>
      </c>
      <c r="D16" s="18" t="s">
        <v>341</v>
      </c>
      <c r="E16" s="18" t="s">
        <v>1461</v>
      </c>
      <c r="F16" s="18" t="s">
        <v>168</v>
      </c>
      <c r="G16" s="18" t="s">
        <v>756</v>
      </c>
      <c r="H16" s="18" t="s">
        <v>1651</v>
      </c>
      <c r="I16" s="18" t="s">
        <v>1462</v>
      </c>
      <c r="J16" s="18" t="s">
        <v>356</v>
      </c>
      <c r="K16" s="18" t="s">
        <v>364</v>
      </c>
      <c r="L16" s="18" t="s">
        <v>1463</v>
      </c>
      <c r="M16" s="18" t="s">
        <v>1464</v>
      </c>
      <c r="N16" s="23" t="s">
        <v>1465</v>
      </c>
      <c r="O16" s="18" t="s">
        <v>366</v>
      </c>
      <c r="P16" s="26" t="s">
        <v>0</v>
      </c>
      <c r="Q16" s="18" t="s">
        <v>170</v>
      </c>
      <c r="R16" s="26" t="s">
        <v>1466</v>
      </c>
      <c r="S16" s="26" t="s">
        <v>1467</v>
      </c>
      <c r="T16" s="18" t="s">
        <v>161</v>
      </c>
      <c r="U16" s="26" t="s">
        <v>1469</v>
      </c>
    </row>
    <row r="17" spans="1:21" s="25" customFormat="1" ht="78.75" x14ac:dyDescent="0.25">
      <c r="A17" s="26" t="s">
        <v>2846</v>
      </c>
      <c r="B17" s="26" t="s">
        <v>1408</v>
      </c>
      <c r="C17" s="26" t="s">
        <v>1409</v>
      </c>
      <c r="D17" s="18" t="s">
        <v>342</v>
      </c>
      <c r="E17" s="18" t="s">
        <v>1410</v>
      </c>
      <c r="F17" s="18" t="s">
        <v>348</v>
      </c>
      <c r="G17" s="18" t="s">
        <v>774</v>
      </c>
      <c r="H17" s="18" t="s">
        <v>1663</v>
      </c>
      <c r="I17" s="18" t="s">
        <v>1421</v>
      </c>
      <c r="J17" s="18" t="s">
        <v>360</v>
      </c>
      <c r="K17" s="18" t="s">
        <v>1341</v>
      </c>
      <c r="L17" s="18" t="s">
        <v>1411</v>
      </c>
      <c r="M17" s="18" t="s">
        <v>1533</v>
      </c>
      <c r="N17" s="23" t="s">
        <v>1534</v>
      </c>
      <c r="O17" s="18" t="s">
        <v>366</v>
      </c>
      <c r="P17" s="26" t="s">
        <v>157</v>
      </c>
      <c r="Q17" s="18" t="s">
        <v>202</v>
      </c>
      <c r="R17" s="26" t="s">
        <v>2847</v>
      </c>
      <c r="S17" s="26" t="s">
        <v>733</v>
      </c>
      <c r="T17" s="18" t="s">
        <v>164</v>
      </c>
      <c r="U17" s="20" t="s">
        <v>1535</v>
      </c>
    </row>
    <row r="18" spans="1:21" s="25" customFormat="1" ht="56.25" x14ac:dyDescent="0.25">
      <c r="A18" s="26" t="s">
        <v>232</v>
      </c>
      <c r="B18" s="26" t="s">
        <v>62</v>
      </c>
      <c r="C18" s="26" t="s">
        <v>1523</v>
      </c>
      <c r="D18" s="18" t="s">
        <v>341</v>
      </c>
      <c r="E18" s="18" t="s">
        <v>62</v>
      </c>
      <c r="F18" s="18" t="s">
        <v>168</v>
      </c>
      <c r="G18" s="18" t="s">
        <v>352</v>
      </c>
      <c r="H18" s="18" t="s">
        <v>1658</v>
      </c>
      <c r="I18" s="18" t="s">
        <v>1524</v>
      </c>
      <c r="J18" s="18" t="s">
        <v>356</v>
      </c>
      <c r="K18" s="18" t="s">
        <v>363</v>
      </c>
      <c r="L18" s="18" t="s">
        <v>1525</v>
      </c>
      <c r="M18" s="18" t="s">
        <v>646</v>
      </c>
      <c r="N18" s="23" t="s">
        <v>1526</v>
      </c>
      <c r="O18" s="18" t="s">
        <v>366</v>
      </c>
      <c r="P18" s="26" t="s">
        <v>157</v>
      </c>
      <c r="Q18" s="18" t="s">
        <v>170</v>
      </c>
      <c r="R18" s="26" t="s">
        <v>568</v>
      </c>
      <c r="S18" s="26" t="s">
        <v>159</v>
      </c>
      <c r="T18" s="18" t="s">
        <v>164</v>
      </c>
      <c r="U18" s="20" t="s">
        <v>226</v>
      </c>
    </row>
    <row r="19" spans="1:21" s="25" customFormat="1" ht="56.25" x14ac:dyDescent="0.25">
      <c r="A19" s="26" t="s">
        <v>484</v>
      </c>
      <c r="B19" s="26" t="s">
        <v>68</v>
      </c>
      <c r="C19" s="26" t="s">
        <v>1470</v>
      </c>
      <c r="D19" s="18" t="s">
        <v>341</v>
      </c>
      <c r="E19" s="18" t="s">
        <v>68</v>
      </c>
      <c r="F19" s="18" t="s">
        <v>348</v>
      </c>
      <c r="G19" s="18" t="s">
        <v>756</v>
      </c>
      <c r="H19" s="18" t="s">
        <v>1674</v>
      </c>
      <c r="I19" s="18" t="s">
        <v>1471</v>
      </c>
      <c r="J19" s="18" t="s">
        <v>356</v>
      </c>
      <c r="K19" s="18" t="s">
        <v>1341</v>
      </c>
      <c r="L19" s="18" t="s">
        <v>1472</v>
      </c>
      <c r="M19" s="18" t="s">
        <v>1473</v>
      </c>
      <c r="N19" s="23" t="s">
        <v>1474</v>
      </c>
      <c r="O19" s="18" t="s">
        <v>366</v>
      </c>
      <c r="P19" s="26" t="s">
        <v>0</v>
      </c>
      <c r="Q19" s="18" t="s">
        <v>170</v>
      </c>
      <c r="R19" s="26" t="s">
        <v>1475</v>
      </c>
      <c r="S19" s="26" t="s">
        <v>1431</v>
      </c>
      <c r="T19" s="18" t="s">
        <v>161</v>
      </c>
      <c r="U19" s="26" t="s">
        <v>1476</v>
      </c>
    </row>
    <row r="20" spans="1:21" s="69" customFormat="1" ht="67.5" x14ac:dyDescent="0.25">
      <c r="A20" s="26" t="s">
        <v>484</v>
      </c>
      <c r="B20" s="26" t="s">
        <v>54</v>
      </c>
      <c r="C20" s="26" t="s">
        <v>1339</v>
      </c>
      <c r="D20" s="18" t="s">
        <v>341</v>
      </c>
      <c r="E20" s="18" t="s">
        <v>54</v>
      </c>
      <c r="F20" s="18" t="s">
        <v>168</v>
      </c>
      <c r="G20" s="18" t="s">
        <v>756</v>
      </c>
      <c r="H20" s="18" t="s">
        <v>1684</v>
      </c>
      <c r="I20" s="18" t="s">
        <v>1340</v>
      </c>
      <c r="J20" s="18" t="s">
        <v>355</v>
      </c>
      <c r="K20" s="18" t="s">
        <v>1341</v>
      </c>
      <c r="L20" s="18" t="s">
        <v>1342</v>
      </c>
      <c r="M20" s="18" t="s">
        <v>1343</v>
      </c>
      <c r="N20" s="23" t="s">
        <v>1344</v>
      </c>
      <c r="O20" s="18" t="s">
        <v>366</v>
      </c>
      <c r="P20" s="26" t="s">
        <v>157</v>
      </c>
      <c r="Q20" s="18" t="s">
        <v>170</v>
      </c>
      <c r="R20" s="26" t="s">
        <v>1345</v>
      </c>
      <c r="S20" s="26" t="s">
        <v>1346</v>
      </c>
      <c r="T20" s="18" t="s">
        <v>164</v>
      </c>
      <c r="U20" s="20" t="s">
        <v>1348</v>
      </c>
    </row>
    <row r="21" spans="1:21" s="19" customFormat="1" ht="56.25" x14ac:dyDescent="0.25">
      <c r="A21" s="26" t="s">
        <v>1477</v>
      </c>
      <c r="B21" s="26" t="s">
        <v>1332</v>
      </c>
      <c r="C21" s="26" t="s">
        <v>1478</v>
      </c>
      <c r="D21" s="18" t="s">
        <v>341</v>
      </c>
      <c r="E21" s="18" t="s">
        <v>1332</v>
      </c>
      <c r="F21" s="18" t="s">
        <v>168</v>
      </c>
      <c r="G21" s="18" t="s">
        <v>756</v>
      </c>
      <c r="H21" s="18" t="s">
        <v>1652</v>
      </c>
      <c r="I21" s="18" t="s">
        <v>1479</v>
      </c>
      <c r="J21" s="18" t="s">
        <v>355</v>
      </c>
      <c r="K21" s="18" t="s">
        <v>363</v>
      </c>
      <c r="L21" s="18" t="s">
        <v>1480</v>
      </c>
      <c r="M21" s="18" t="s">
        <v>1454</v>
      </c>
      <c r="N21" s="23" t="s">
        <v>1481</v>
      </c>
      <c r="O21" s="18" t="s">
        <v>366</v>
      </c>
      <c r="P21" s="26" t="s">
        <v>0</v>
      </c>
      <c r="Q21" s="18" t="s">
        <v>170</v>
      </c>
      <c r="R21" s="26" t="s">
        <v>1491</v>
      </c>
      <c r="S21" s="26" t="s">
        <v>1432</v>
      </c>
      <c r="T21" s="18" t="s">
        <v>161</v>
      </c>
      <c r="U21" s="26" t="s">
        <v>1482</v>
      </c>
    </row>
    <row r="22" spans="1:21" s="19" customFormat="1" ht="33.75" x14ac:dyDescent="0.25">
      <c r="A22" s="26" t="s">
        <v>1483</v>
      </c>
      <c r="B22" s="26" t="s">
        <v>1338</v>
      </c>
      <c r="C22" s="26" t="s">
        <v>1484</v>
      </c>
      <c r="D22" s="18" t="s">
        <v>341</v>
      </c>
      <c r="E22" s="18" t="s">
        <v>1332</v>
      </c>
      <c r="F22" s="18" t="s">
        <v>348</v>
      </c>
      <c r="G22" s="18" t="s">
        <v>1485</v>
      </c>
      <c r="H22" s="18" t="s">
        <v>1686</v>
      </c>
      <c r="I22" s="18" t="s">
        <v>1486</v>
      </c>
      <c r="J22" s="18" t="s">
        <v>360</v>
      </c>
      <c r="K22" s="18" t="s">
        <v>361</v>
      </c>
      <c r="L22" s="18" t="s">
        <v>1487</v>
      </c>
      <c r="M22" s="18" t="s">
        <v>1488</v>
      </c>
      <c r="N22" s="23" t="s">
        <v>1489</v>
      </c>
      <c r="O22" s="18" t="s">
        <v>366</v>
      </c>
      <c r="P22" s="26" t="s">
        <v>157</v>
      </c>
      <c r="Q22" s="18" t="s">
        <v>170</v>
      </c>
      <c r="R22" s="26" t="s">
        <v>1490</v>
      </c>
      <c r="S22" s="26" t="s">
        <v>1493</v>
      </c>
      <c r="T22" s="18" t="s">
        <v>164</v>
      </c>
      <c r="U22" s="20" t="s">
        <v>1494</v>
      </c>
    </row>
    <row r="23" spans="1:21" s="19" customFormat="1" ht="45" x14ac:dyDescent="0.25">
      <c r="A23" s="26" t="s">
        <v>1337</v>
      </c>
      <c r="B23" s="26" t="s">
        <v>1336</v>
      </c>
      <c r="C23" s="26" t="s">
        <v>1495</v>
      </c>
      <c r="D23" s="18" t="s">
        <v>341</v>
      </c>
      <c r="E23" s="18" t="s">
        <v>1332</v>
      </c>
      <c r="F23" s="18" t="s">
        <v>168</v>
      </c>
      <c r="G23" s="18" t="s">
        <v>756</v>
      </c>
      <c r="H23" s="18" t="s">
        <v>1655</v>
      </c>
      <c r="I23" s="18" t="s">
        <v>1496</v>
      </c>
      <c r="J23" s="18" t="s">
        <v>355</v>
      </c>
      <c r="K23" s="18" t="s">
        <v>363</v>
      </c>
      <c r="L23" s="18" t="s">
        <v>1497</v>
      </c>
      <c r="M23" s="18" t="s">
        <v>1454</v>
      </c>
      <c r="N23" s="23" t="s">
        <v>1498</v>
      </c>
      <c r="O23" s="18" t="s">
        <v>366</v>
      </c>
      <c r="P23" s="26" t="s">
        <v>0</v>
      </c>
      <c r="Q23" s="18" t="s">
        <v>170</v>
      </c>
      <c r="R23" s="26" t="s">
        <v>1499</v>
      </c>
      <c r="S23" s="26" t="s">
        <v>1500</v>
      </c>
      <c r="T23" s="18" t="s">
        <v>161</v>
      </c>
      <c r="U23" s="26" t="s">
        <v>1501</v>
      </c>
    </row>
    <row r="24" spans="1:21" s="19" customFormat="1" ht="45" x14ac:dyDescent="0.25">
      <c r="A24" s="26" t="s">
        <v>1502</v>
      </c>
      <c r="B24" s="26" t="s">
        <v>288</v>
      </c>
      <c r="C24" s="26" t="s">
        <v>1503</v>
      </c>
      <c r="D24" s="18" t="s">
        <v>288</v>
      </c>
      <c r="E24" s="18" t="s">
        <v>288</v>
      </c>
      <c r="F24" s="18" t="s">
        <v>348</v>
      </c>
      <c r="G24" s="18" t="s">
        <v>1444</v>
      </c>
      <c r="H24" s="18" t="s">
        <v>1671</v>
      </c>
      <c r="I24" s="18" t="s">
        <v>1504</v>
      </c>
      <c r="J24" s="18" t="s">
        <v>356</v>
      </c>
      <c r="K24" s="18" t="s">
        <v>363</v>
      </c>
      <c r="L24" s="18" t="s">
        <v>1505</v>
      </c>
      <c r="M24" s="18" t="s">
        <v>1506</v>
      </c>
      <c r="N24" s="23" t="s">
        <v>1507</v>
      </c>
      <c r="O24" s="18" t="s">
        <v>366</v>
      </c>
      <c r="P24" s="26" t="s">
        <v>157</v>
      </c>
      <c r="Q24" s="18" t="s">
        <v>170</v>
      </c>
      <c r="R24" s="26" t="s">
        <v>1508</v>
      </c>
      <c r="S24" s="26" t="s">
        <v>732</v>
      </c>
      <c r="T24" s="18" t="s">
        <v>164</v>
      </c>
      <c r="U24" s="20" t="s">
        <v>1509</v>
      </c>
    </row>
    <row r="25" spans="1:21" s="19" customFormat="1" ht="33.75" x14ac:dyDescent="0.25">
      <c r="A25" s="26" t="s">
        <v>413</v>
      </c>
      <c r="B25" s="26" t="s">
        <v>287</v>
      </c>
      <c r="C25" s="26" t="s">
        <v>1029</v>
      </c>
      <c r="D25" s="18" t="s">
        <v>342</v>
      </c>
      <c r="E25" s="18" t="s">
        <v>287</v>
      </c>
      <c r="F25" s="18" t="s">
        <v>348</v>
      </c>
      <c r="G25" s="18" t="s">
        <v>352</v>
      </c>
      <c r="H25" s="18" t="s">
        <v>1678</v>
      </c>
      <c r="I25" s="18" t="s">
        <v>1030</v>
      </c>
      <c r="J25" s="18" t="s">
        <v>355</v>
      </c>
      <c r="K25" s="18" t="s">
        <v>363</v>
      </c>
      <c r="L25" s="18" t="s">
        <v>1034</v>
      </c>
      <c r="M25" s="18" t="s">
        <v>1031</v>
      </c>
      <c r="N25" s="23" t="s">
        <v>1033</v>
      </c>
      <c r="O25" s="18" t="s">
        <v>366</v>
      </c>
      <c r="P25" s="26" t="s">
        <v>157</v>
      </c>
      <c r="Q25" s="18" t="s">
        <v>170</v>
      </c>
      <c r="R25" s="26" t="s">
        <v>1492</v>
      </c>
      <c r="S25" s="26" t="s">
        <v>731</v>
      </c>
      <c r="T25" s="18" t="s">
        <v>164</v>
      </c>
      <c r="U25" s="20" t="s">
        <v>1032</v>
      </c>
    </row>
    <row r="26" spans="1:21" s="19" customFormat="1" ht="22.5" x14ac:dyDescent="0.25">
      <c r="A26" s="26" t="s">
        <v>640</v>
      </c>
      <c r="B26" s="26" t="s">
        <v>289</v>
      </c>
      <c r="C26" s="26" t="s">
        <v>641</v>
      </c>
      <c r="D26" s="18" t="s">
        <v>342</v>
      </c>
      <c r="E26" s="18" t="s">
        <v>347</v>
      </c>
      <c r="F26" s="18" t="s">
        <v>348</v>
      </c>
      <c r="G26" s="18" t="s">
        <v>352</v>
      </c>
      <c r="H26" s="18" t="s">
        <v>1687</v>
      </c>
      <c r="I26" s="18" t="s">
        <v>648</v>
      </c>
      <c r="J26" s="18" t="s">
        <v>358</v>
      </c>
      <c r="K26" s="18" t="s">
        <v>364</v>
      </c>
      <c r="L26" s="18" t="s">
        <v>434</v>
      </c>
      <c r="M26" s="18" t="s">
        <v>645</v>
      </c>
      <c r="N26" s="23" t="s">
        <v>642</v>
      </c>
      <c r="O26" s="18" t="s">
        <v>366</v>
      </c>
      <c r="P26" s="26" t="s">
        <v>157</v>
      </c>
      <c r="Q26" s="18" t="s">
        <v>170</v>
      </c>
      <c r="R26" s="26" t="s">
        <v>643</v>
      </c>
      <c r="S26" s="26" t="s">
        <v>644</v>
      </c>
      <c r="T26" s="18" t="s">
        <v>164</v>
      </c>
      <c r="U26" s="20" t="s">
        <v>647</v>
      </c>
    </row>
    <row r="27" spans="1:21" s="19" customFormat="1" ht="45" x14ac:dyDescent="0.25">
      <c r="A27" s="26" t="s">
        <v>1510</v>
      </c>
      <c r="B27" s="26" t="s">
        <v>1333</v>
      </c>
      <c r="C27" s="26" t="s">
        <v>1511</v>
      </c>
      <c r="D27" s="18" t="s">
        <v>342</v>
      </c>
      <c r="E27" s="18" t="s">
        <v>1333</v>
      </c>
      <c r="F27" s="18" t="s">
        <v>348</v>
      </c>
      <c r="G27" s="18" t="s">
        <v>1512</v>
      </c>
      <c r="H27" s="18" t="s">
        <v>1656</v>
      </c>
      <c r="I27" s="18" t="s">
        <v>1513</v>
      </c>
      <c r="J27" s="18" t="s">
        <v>355</v>
      </c>
      <c r="K27" s="18" t="s">
        <v>363</v>
      </c>
      <c r="L27" s="18" t="s">
        <v>1514</v>
      </c>
      <c r="M27" s="18" t="s">
        <v>1031</v>
      </c>
      <c r="N27" s="23" t="s">
        <v>1515</v>
      </c>
      <c r="O27" s="18" t="s">
        <v>366</v>
      </c>
      <c r="P27" s="26" t="s">
        <v>0</v>
      </c>
      <c r="Q27" s="18" t="s">
        <v>170</v>
      </c>
      <c r="R27" s="26" t="s">
        <v>1516</v>
      </c>
      <c r="S27" s="26" t="s">
        <v>1468</v>
      </c>
      <c r="T27" s="18" t="s">
        <v>161</v>
      </c>
      <c r="U27" s="26" t="s">
        <v>1517</v>
      </c>
    </row>
    <row r="28" spans="1:21" s="19" customFormat="1" ht="33.75" x14ac:dyDescent="0.25">
      <c r="A28" s="26" t="s">
        <v>1412</v>
      </c>
      <c r="B28" s="26" t="s">
        <v>1413</v>
      </c>
      <c r="C28" s="26" t="s">
        <v>1414</v>
      </c>
      <c r="D28" s="20" t="s">
        <v>341</v>
      </c>
      <c r="E28" s="18" t="s">
        <v>1415</v>
      </c>
      <c r="F28" s="18" t="s">
        <v>168</v>
      </c>
      <c r="G28" s="18" t="s">
        <v>783</v>
      </c>
      <c r="H28" s="18" t="s">
        <v>1685</v>
      </c>
      <c r="I28" s="18" t="s">
        <v>1421</v>
      </c>
      <c r="J28" s="18" t="s">
        <v>360</v>
      </c>
      <c r="K28" s="18" t="s">
        <v>361</v>
      </c>
      <c r="L28" s="18" t="s">
        <v>1416</v>
      </c>
      <c r="M28" s="18" t="s">
        <v>1417</v>
      </c>
      <c r="N28" s="74" t="s">
        <v>1419</v>
      </c>
      <c r="O28" s="20" t="s">
        <v>366</v>
      </c>
      <c r="P28" s="26" t="s">
        <v>157</v>
      </c>
      <c r="Q28" s="18" t="s">
        <v>202</v>
      </c>
      <c r="R28" s="26" t="s">
        <v>1518</v>
      </c>
      <c r="S28" s="26" t="s">
        <v>730</v>
      </c>
      <c r="T28" s="18" t="s">
        <v>161</v>
      </c>
      <c r="U28" s="20" t="s">
        <v>1418</v>
      </c>
    </row>
    <row r="29" spans="1:21" ht="45" x14ac:dyDescent="0.25">
      <c r="A29" s="26" t="s">
        <v>1270</v>
      </c>
      <c r="B29" s="26" t="s">
        <v>290</v>
      </c>
      <c r="C29" s="26" t="s">
        <v>1271</v>
      </c>
      <c r="D29" s="18" t="s">
        <v>341</v>
      </c>
      <c r="E29" s="18" t="s">
        <v>290</v>
      </c>
      <c r="F29" s="18" t="s">
        <v>168</v>
      </c>
      <c r="G29" s="18" t="s">
        <v>756</v>
      </c>
      <c r="H29" s="18" t="s">
        <v>1668</v>
      </c>
      <c r="I29" s="18" t="s">
        <v>1272</v>
      </c>
      <c r="J29" s="18" t="s">
        <v>356</v>
      </c>
      <c r="K29" s="18" t="s">
        <v>363</v>
      </c>
      <c r="L29" s="18" t="s">
        <v>1273</v>
      </c>
      <c r="M29" s="18" t="s">
        <v>1276</v>
      </c>
      <c r="N29" s="23" t="s">
        <v>1277</v>
      </c>
      <c r="O29" s="18" t="s">
        <v>366</v>
      </c>
      <c r="P29" s="26" t="s">
        <v>157</v>
      </c>
      <c r="Q29" s="18" t="s">
        <v>170</v>
      </c>
      <c r="R29" s="26" t="s">
        <v>1275</v>
      </c>
      <c r="S29" s="26" t="s">
        <v>729</v>
      </c>
      <c r="T29" s="18" t="s">
        <v>164</v>
      </c>
      <c r="U29" s="26" t="s">
        <v>1274</v>
      </c>
    </row>
    <row r="30" spans="1:21" x14ac:dyDescent="0.25">
      <c r="A30" s="26"/>
      <c r="B30" s="26"/>
      <c r="C30" s="26"/>
      <c r="D30" s="18"/>
      <c r="E30" s="18"/>
      <c r="F30" s="18"/>
      <c r="G30" s="18"/>
      <c r="H30" s="18"/>
      <c r="I30" s="18"/>
      <c r="J30" s="18"/>
      <c r="K30" s="18"/>
      <c r="L30" s="18"/>
      <c r="M30" s="18"/>
      <c r="N30" s="23"/>
      <c r="O30" s="18"/>
      <c r="P30" s="26"/>
      <c r="Q30" s="18"/>
      <c r="R30" s="26"/>
      <c r="S30" s="26"/>
      <c r="T30" s="18"/>
      <c r="U30" s="26"/>
    </row>
    <row r="31" spans="1:21" x14ac:dyDescent="0.25">
      <c r="A31" s="26"/>
      <c r="B31" s="26"/>
      <c r="C31" s="26"/>
      <c r="D31" s="18"/>
      <c r="E31" s="18"/>
      <c r="F31" s="18"/>
      <c r="G31" s="18"/>
      <c r="H31" s="18"/>
      <c r="I31" s="18"/>
      <c r="J31" s="18"/>
      <c r="K31" s="18"/>
      <c r="L31" s="18"/>
      <c r="M31" s="18"/>
      <c r="N31" s="23"/>
      <c r="O31" s="18"/>
      <c r="P31" s="26"/>
      <c r="Q31" s="18"/>
      <c r="R31" s="26"/>
      <c r="S31" s="26"/>
      <c r="T31" s="18"/>
      <c r="U31" s="26"/>
    </row>
    <row r="32" spans="1:21" x14ac:dyDescent="0.25">
      <c r="A32" s="26"/>
      <c r="B32" s="26"/>
      <c r="C32" s="26"/>
      <c r="D32" s="18"/>
      <c r="E32" s="18"/>
      <c r="F32" s="18"/>
      <c r="G32" s="18"/>
      <c r="H32" s="18"/>
      <c r="I32" s="18"/>
      <c r="J32" s="18"/>
      <c r="K32" s="18"/>
      <c r="L32" s="18"/>
      <c r="M32" s="18"/>
      <c r="N32" s="23"/>
      <c r="O32" s="18"/>
      <c r="P32" s="26"/>
      <c r="Q32" s="18"/>
      <c r="R32" s="26"/>
      <c r="S32" s="26"/>
      <c r="T32" s="18"/>
      <c r="U32" s="26"/>
    </row>
    <row r="33" spans="1:21" x14ac:dyDescent="0.25">
      <c r="A33" s="26"/>
      <c r="B33" s="26"/>
      <c r="C33" s="26"/>
      <c r="D33" s="18"/>
      <c r="E33" s="18"/>
      <c r="F33" s="18"/>
      <c r="G33" s="18"/>
      <c r="H33" s="18"/>
      <c r="I33" s="18"/>
      <c r="J33" s="18"/>
      <c r="K33" s="18"/>
      <c r="L33" s="18"/>
      <c r="M33" s="18"/>
      <c r="N33" s="23"/>
      <c r="O33" s="18"/>
      <c r="P33" s="26"/>
      <c r="Q33" s="18"/>
      <c r="R33" s="26"/>
      <c r="S33" s="26"/>
      <c r="T33" s="18"/>
      <c r="U33" s="26"/>
    </row>
    <row r="34" spans="1:21" x14ac:dyDescent="0.25">
      <c r="A34" s="26"/>
      <c r="B34" s="26"/>
      <c r="C34" s="26"/>
      <c r="D34" s="18"/>
      <c r="E34" s="18"/>
      <c r="F34" s="18"/>
      <c r="G34" s="18"/>
      <c r="H34" s="18"/>
      <c r="I34" s="18"/>
      <c r="J34" s="18"/>
      <c r="K34" s="18"/>
      <c r="L34" s="18"/>
      <c r="M34" s="18"/>
      <c r="N34" s="23"/>
      <c r="O34" s="18"/>
      <c r="P34" s="26"/>
      <c r="Q34" s="18"/>
      <c r="R34" s="26"/>
      <c r="S34" s="26"/>
      <c r="T34" s="18"/>
      <c r="U34" s="26"/>
    </row>
    <row r="35" spans="1:21" x14ac:dyDescent="0.25">
      <c r="A35" s="26"/>
      <c r="B35" s="26"/>
      <c r="C35" s="26"/>
      <c r="D35" s="18"/>
      <c r="E35" s="18"/>
      <c r="F35" s="18"/>
      <c r="G35" s="18"/>
      <c r="H35" s="18"/>
      <c r="I35" s="18"/>
      <c r="J35" s="18"/>
      <c r="K35" s="18"/>
      <c r="L35" s="18"/>
      <c r="M35" s="18"/>
      <c r="N35" s="23"/>
      <c r="O35" s="18"/>
      <c r="P35" s="26"/>
      <c r="Q35" s="18"/>
      <c r="R35" s="26"/>
      <c r="S35" s="26"/>
      <c r="T35" s="18"/>
      <c r="U35" s="26"/>
    </row>
    <row r="36" spans="1:21" x14ac:dyDescent="0.25">
      <c r="A36" s="26"/>
      <c r="B36" s="26"/>
      <c r="C36" s="26"/>
      <c r="D36" s="18"/>
      <c r="E36" s="18"/>
      <c r="F36" s="18"/>
      <c r="G36" s="18"/>
      <c r="H36" s="18"/>
      <c r="I36" s="18"/>
      <c r="J36" s="18"/>
      <c r="K36" s="18"/>
      <c r="L36" s="18"/>
      <c r="M36" s="18"/>
      <c r="N36" s="23"/>
      <c r="O36" s="18"/>
      <c r="P36" s="26"/>
      <c r="Q36" s="18"/>
      <c r="R36" s="26"/>
      <c r="S36" s="26"/>
      <c r="T36" s="18"/>
      <c r="U36" s="26"/>
    </row>
    <row r="37" spans="1:21" x14ac:dyDescent="0.25">
      <c r="A37" s="26"/>
      <c r="B37" s="26"/>
      <c r="C37" s="26"/>
      <c r="D37" s="18"/>
      <c r="E37" s="18"/>
      <c r="F37" s="18"/>
      <c r="G37" s="18"/>
      <c r="H37" s="18"/>
      <c r="I37" s="18"/>
      <c r="J37" s="18"/>
      <c r="K37" s="18"/>
      <c r="L37" s="18"/>
      <c r="M37" s="18"/>
      <c r="N37" s="23"/>
      <c r="O37" s="18"/>
      <c r="P37" s="26"/>
      <c r="Q37" s="18"/>
      <c r="R37" s="26"/>
      <c r="S37" s="26"/>
      <c r="T37" s="18"/>
      <c r="U37" s="26"/>
    </row>
    <row r="38" spans="1:21" x14ac:dyDescent="0.25">
      <c r="A38" s="26"/>
      <c r="B38" s="26"/>
      <c r="C38" s="26"/>
      <c r="D38" s="18"/>
      <c r="E38" s="18"/>
      <c r="F38" s="18"/>
      <c r="G38" s="18"/>
      <c r="H38" s="18"/>
      <c r="I38" s="18"/>
      <c r="J38" s="18"/>
      <c r="K38" s="18"/>
      <c r="L38" s="18"/>
      <c r="M38" s="18"/>
      <c r="N38" s="23"/>
      <c r="O38" s="18"/>
      <c r="P38" s="26"/>
      <c r="Q38" s="18"/>
      <c r="R38" s="26"/>
      <c r="S38" s="26"/>
      <c r="T38" s="18"/>
      <c r="U38" s="26"/>
    </row>
    <row r="39" spans="1:21" x14ac:dyDescent="0.25">
      <c r="A39" s="26"/>
      <c r="B39" s="26"/>
      <c r="C39" s="26"/>
      <c r="D39" s="18"/>
      <c r="E39" s="18"/>
      <c r="F39" s="18"/>
      <c r="G39" s="18"/>
      <c r="H39" s="18"/>
      <c r="I39" s="18"/>
      <c r="J39" s="18"/>
      <c r="K39" s="18"/>
      <c r="L39" s="18"/>
      <c r="M39" s="18"/>
      <c r="N39" s="23"/>
      <c r="O39" s="18"/>
      <c r="P39" s="26"/>
      <c r="Q39" s="18"/>
      <c r="R39" s="26"/>
      <c r="S39" s="26"/>
      <c r="T39" s="18"/>
      <c r="U39" s="26"/>
    </row>
    <row r="40" spans="1:21" x14ac:dyDescent="0.25">
      <c r="A40" s="26"/>
      <c r="B40" s="26"/>
      <c r="C40" s="26"/>
      <c r="D40" s="18"/>
      <c r="E40" s="18"/>
      <c r="F40" s="18"/>
      <c r="G40" s="18"/>
      <c r="H40" s="18"/>
      <c r="I40" s="18"/>
      <c r="J40" s="18"/>
      <c r="K40" s="18"/>
      <c r="L40" s="18"/>
      <c r="M40" s="18"/>
      <c r="N40" s="23"/>
      <c r="O40" s="18"/>
      <c r="P40" s="26"/>
      <c r="Q40" s="18"/>
      <c r="R40" s="26"/>
      <c r="S40" s="26"/>
      <c r="T40" s="18"/>
      <c r="U40" s="26"/>
    </row>
    <row r="41" spans="1:21" x14ac:dyDescent="0.25">
      <c r="A41" s="26"/>
      <c r="B41" s="26"/>
      <c r="C41" s="26"/>
      <c r="D41" s="18"/>
      <c r="E41" s="18"/>
      <c r="F41" s="18"/>
      <c r="G41" s="18"/>
      <c r="H41" s="18"/>
      <c r="I41" s="18"/>
      <c r="J41" s="18"/>
      <c r="K41" s="18"/>
      <c r="L41" s="18"/>
      <c r="M41" s="18"/>
      <c r="N41" s="23"/>
      <c r="O41" s="18"/>
      <c r="P41" s="26"/>
      <c r="Q41" s="18"/>
      <c r="R41" s="26"/>
      <c r="S41" s="26"/>
      <c r="T41" s="18"/>
      <c r="U41" s="26"/>
    </row>
    <row r="42" spans="1:21" x14ac:dyDescent="0.25">
      <c r="A42" s="26"/>
      <c r="B42" s="26"/>
      <c r="C42" s="26"/>
      <c r="D42" s="18"/>
      <c r="E42" s="18"/>
      <c r="F42" s="18"/>
      <c r="G42" s="18"/>
      <c r="H42" s="18"/>
      <c r="I42" s="18"/>
      <c r="J42" s="18"/>
      <c r="K42" s="18"/>
      <c r="L42" s="18"/>
      <c r="M42" s="18"/>
      <c r="N42" s="23"/>
      <c r="O42" s="18"/>
      <c r="P42" s="26"/>
      <c r="Q42" s="18"/>
      <c r="R42" s="26"/>
      <c r="S42" s="26"/>
      <c r="T42" s="18"/>
      <c r="U42" s="26"/>
    </row>
    <row r="43" spans="1:21" x14ac:dyDescent="0.25">
      <c r="A43" s="26"/>
      <c r="B43" s="26"/>
      <c r="C43" s="26"/>
      <c r="D43" s="18"/>
      <c r="E43" s="18"/>
      <c r="F43" s="18"/>
      <c r="G43" s="18"/>
      <c r="H43" s="18"/>
      <c r="I43" s="18"/>
      <c r="J43" s="18"/>
      <c r="K43" s="18"/>
      <c r="L43" s="18"/>
      <c r="M43" s="18"/>
      <c r="N43" s="23"/>
      <c r="O43" s="18"/>
      <c r="P43" s="26"/>
      <c r="Q43" s="18"/>
      <c r="R43" s="26"/>
      <c r="S43" s="26"/>
      <c r="T43" s="18"/>
      <c r="U43" s="26"/>
    </row>
    <row r="44" spans="1:21" x14ac:dyDescent="0.25">
      <c r="A44" s="26"/>
      <c r="B44" s="26"/>
      <c r="C44" s="26"/>
      <c r="D44" s="18"/>
      <c r="E44" s="18"/>
      <c r="F44" s="18"/>
      <c r="G44" s="18"/>
      <c r="H44" s="18"/>
      <c r="I44" s="18"/>
      <c r="J44" s="18"/>
      <c r="K44" s="18"/>
      <c r="L44" s="18"/>
      <c r="M44" s="18"/>
      <c r="N44" s="23"/>
      <c r="O44" s="18"/>
      <c r="P44" s="26"/>
      <c r="Q44" s="18"/>
      <c r="R44" s="26"/>
      <c r="S44" s="26"/>
      <c r="T44" s="18"/>
      <c r="U44" s="26"/>
    </row>
    <row r="45" spans="1:21" x14ac:dyDescent="0.25">
      <c r="A45" s="26"/>
      <c r="B45" s="26"/>
      <c r="C45" s="26"/>
      <c r="D45" s="18"/>
      <c r="E45" s="18"/>
      <c r="F45" s="18"/>
      <c r="G45" s="18"/>
      <c r="H45" s="18"/>
      <c r="I45" s="18"/>
      <c r="J45" s="18"/>
      <c r="K45" s="18"/>
      <c r="L45" s="18"/>
      <c r="M45" s="18"/>
      <c r="N45" s="23"/>
      <c r="O45" s="18"/>
      <c r="P45" s="26"/>
      <c r="Q45" s="18"/>
      <c r="R45" s="26"/>
      <c r="S45" s="26"/>
      <c r="T45" s="18"/>
      <c r="U45" s="26"/>
    </row>
    <row r="46" spans="1:21" x14ac:dyDescent="0.25">
      <c r="A46" s="26"/>
      <c r="B46" s="26"/>
      <c r="C46" s="26"/>
      <c r="D46" s="18"/>
      <c r="E46" s="18"/>
      <c r="F46" s="18"/>
      <c r="G46" s="18"/>
      <c r="H46" s="18"/>
      <c r="I46" s="18"/>
      <c r="J46" s="18"/>
      <c r="K46" s="18"/>
      <c r="L46" s="18"/>
      <c r="M46" s="18"/>
      <c r="N46" s="23"/>
      <c r="O46" s="18"/>
      <c r="P46" s="26"/>
      <c r="Q46" s="18"/>
      <c r="R46" s="26"/>
      <c r="S46" s="26"/>
      <c r="T46" s="18"/>
      <c r="U46" s="26"/>
    </row>
    <row r="47" spans="1:21" x14ac:dyDescent="0.25">
      <c r="A47" s="26"/>
      <c r="B47" s="26"/>
      <c r="C47" s="26"/>
      <c r="D47" s="18"/>
      <c r="E47" s="18"/>
      <c r="F47" s="18"/>
      <c r="G47" s="18"/>
      <c r="H47" s="18"/>
      <c r="I47" s="18"/>
      <c r="J47" s="18"/>
      <c r="K47" s="18"/>
      <c r="L47" s="18"/>
      <c r="M47" s="18"/>
      <c r="N47" s="23"/>
      <c r="O47" s="18"/>
      <c r="P47" s="26"/>
      <c r="Q47" s="18"/>
      <c r="R47" s="26"/>
      <c r="S47" s="26"/>
      <c r="T47" s="18"/>
      <c r="U47" s="26"/>
    </row>
    <row r="48" spans="1:21" x14ac:dyDescent="0.25">
      <c r="A48" s="26"/>
      <c r="B48" s="26"/>
      <c r="C48" s="26"/>
      <c r="D48" s="18"/>
      <c r="E48" s="18"/>
      <c r="F48" s="18"/>
      <c r="G48" s="18"/>
      <c r="H48" s="18"/>
      <c r="I48" s="18"/>
      <c r="J48" s="18"/>
      <c r="K48" s="18"/>
      <c r="L48" s="18"/>
      <c r="M48" s="18"/>
      <c r="N48" s="23"/>
      <c r="O48" s="18"/>
      <c r="P48" s="26"/>
      <c r="Q48" s="18"/>
      <c r="R48" s="26"/>
      <c r="S48" s="26"/>
      <c r="T48" s="18"/>
      <c r="U48" s="26"/>
    </row>
    <row r="49" spans="1:21" x14ac:dyDescent="0.25">
      <c r="A49" s="26"/>
      <c r="B49" s="26"/>
      <c r="C49" s="26"/>
      <c r="D49" s="18"/>
      <c r="E49" s="18"/>
      <c r="F49" s="18"/>
      <c r="G49" s="18"/>
      <c r="H49" s="18"/>
      <c r="I49" s="18"/>
      <c r="J49" s="18"/>
      <c r="K49" s="18"/>
      <c r="L49" s="18"/>
      <c r="M49" s="18"/>
      <c r="N49" s="23"/>
      <c r="O49" s="18"/>
      <c r="P49" s="26"/>
      <c r="Q49" s="18"/>
      <c r="R49" s="26"/>
      <c r="S49" s="26"/>
      <c r="T49" s="18"/>
      <c r="U49" s="26"/>
    </row>
    <row r="50" spans="1:21" x14ac:dyDescent="0.25">
      <c r="A50" s="26"/>
      <c r="B50" s="26"/>
      <c r="C50" s="26"/>
      <c r="D50" s="18"/>
      <c r="E50" s="18"/>
      <c r="F50" s="18"/>
      <c r="G50" s="18"/>
      <c r="H50" s="18"/>
      <c r="I50" s="18"/>
      <c r="J50" s="18"/>
      <c r="K50" s="18"/>
      <c r="L50" s="18"/>
      <c r="M50" s="18"/>
      <c r="N50" s="23"/>
      <c r="O50" s="18"/>
      <c r="P50" s="26"/>
      <c r="Q50" s="18"/>
      <c r="R50" s="26"/>
      <c r="S50" s="26"/>
      <c r="T50" s="18"/>
      <c r="U50" s="26"/>
    </row>
    <row r="51" spans="1:21" x14ac:dyDescent="0.25">
      <c r="A51" s="26"/>
      <c r="B51" s="26"/>
      <c r="C51" s="26"/>
      <c r="D51" s="18"/>
      <c r="E51" s="18"/>
      <c r="F51" s="18"/>
      <c r="G51" s="18"/>
      <c r="H51" s="18"/>
      <c r="I51" s="18"/>
      <c r="J51" s="18"/>
      <c r="K51" s="18"/>
      <c r="L51" s="18"/>
      <c r="M51" s="18"/>
      <c r="N51" s="23"/>
      <c r="O51" s="18"/>
      <c r="P51" s="26"/>
      <c r="Q51" s="18"/>
      <c r="R51" s="26"/>
      <c r="S51" s="26"/>
      <c r="T51" s="18"/>
      <c r="U51" s="26"/>
    </row>
  </sheetData>
  <sortState xmlns:xlrd2="http://schemas.microsoft.com/office/spreadsheetml/2017/richdata2" ref="A6:U29">
    <sortCondition ref="B6:B29"/>
  </sortState>
  <mergeCells count="5">
    <mergeCell ref="A4:N4"/>
    <mergeCell ref="O4:U4"/>
    <mergeCell ref="A3:U3"/>
    <mergeCell ref="A2:U2"/>
    <mergeCell ref="A1:U1"/>
  </mergeCells>
  <pageMargins left="0.7" right="0.7" top="0.75" bottom="0.75" header="0.3" footer="0.3"/>
  <pageSetup orientation="portrait" horizontalDpi="4294967293" verticalDpi="0" r:id="rId1"/>
  <extLst>
    <ext xmlns:x14="http://schemas.microsoft.com/office/spreadsheetml/2009/9/main" uri="{CCE6A557-97BC-4b89-ADB6-D9C93CAAB3DF}">
      <x14:dataValidations xmlns:xm="http://schemas.microsoft.com/office/excel/2006/main" count="14">
        <x14:dataValidation type="list" allowBlank="1" showInputMessage="1" showErrorMessage="1" xr:uid="{E9DD187D-A5C5-417B-82F3-FB6507D45830}">
          <x14:formula1>
            <xm:f>Settings!$A$7:$D$7</xm:f>
          </x14:formula1>
          <xm:sqref>P6:P51</xm:sqref>
        </x14:dataValidation>
        <x14:dataValidation type="list" allowBlank="1" showInputMessage="1" showErrorMessage="1" xr:uid="{9C22DE6F-6B9A-431B-AF3F-20EE4AB7EBC2}">
          <x14:formula1>
            <xm:f>Settings!$A$11:$H$11</xm:f>
          </x14:formula1>
          <xm:sqref>D6:D8 D10:D51</xm:sqref>
        </x14:dataValidation>
        <x14:dataValidation type="list" allowBlank="1" showInputMessage="1" showErrorMessage="1" xr:uid="{092AD301-FFF2-4793-847D-E49C3E816DDF}">
          <x14:formula1>
            <xm:f>Settings!$A$27:$B$27</xm:f>
          </x14:formula1>
          <xm:sqref>Q6:Q51</xm:sqref>
        </x14:dataValidation>
        <x14:dataValidation type="list" allowBlank="1" showInputMessage="1" showErrorMessage="1" xr:uid="{A4C4F701-AF0F-45B0-BE21-F2C06001F12B}">
          <x14:formula1>
            <xm:f>Settings!$A$23:$D$23</xm:f>
          </x14:formula1>
          <xm:sqref>O6:O51</xm:sqref>
        </x14:dataValidation>
        <x14:dataValidation type="list" allowBlank="1" showInputMessage="1" showErrorMessage="1" xr:uid="{A89A9320-8A30-4A00-B9E8-6D834DFDC37E}">
          <x14:formula1>
            <xm:f>Settings!$A$13:$C$13</xm:f>
          </x14:formula1>
          <xm:sqref>F6:F8 F10:F51</xm:sqref>
        </x14:dataValidation>
        <x14:dataValidation type="list" allowBlank="1" showInputMessage="1" showErrorMessage="1" xr:uid="{0BF75E39-DBCD-40CC-94C8-A4FEAEBFEBC7}">
          <x14:formula1>
            <xm:f>Settings!$A$15:$I$15</xm:f>
          </x14:formula1>
          <xm:sqref>H51 G10:G51 G6:G8</xm:sqref>
        </x14:dataValidation>
        <x14:dataValidation type="list" allowBlank="1" showInputMessage="1" showErrorMessage="1" xr:uid="{D1DEC101-FDC0-46FC-9DAF-0F9C00387914}">
          <x14:formula1>
            <xm:f>Settings!$A$17:$F$17</xm:f>
          </x14:formula1>
          <xm:sqref>J6:J8 J10:J51</xm:sqref>
        </x14:dataValidation>
        <x14:dataValidation type="list" allowBlank="1" showInputMessage="1" showErrorMessage="1" xr:uid="{81FEBA19-1B30-4350-AB74-4F77DB2F3334}">
          <x14:formula1>
            <xm:f>Settings!$A$15:$K$15</xm:f>
          </x14:formula1>
          <xm:sqref>G9</xm:sqref>
        </x14:dataValidation>
        <x14:dataValidation type="list" allowBlank="1" showInputMessage="1" showErrorMessage="1" xr:uid="{3221690E-3F61-4F0B-A137-4BABBF27DE80}">
          <x14:formula1>
            <xm:f>Settings!$A$13:$D$13</xm:f>
          </x14:formula1>
          <xm:sqref>F9</xm:sqref>
        </x14:dataValidation>
        <x14:dataValidation type="list" allowBlank="1" showInputMessage="1" showErrorMessage="1" xr:uid="{8F23DE85-733A-464F-B943-1E1D5867EBC3}">
          <x14:formula1>
            <xm:f>Settings!$A$17:$I$17</xm:f>
          </x14:formula1>
          <xm:sqref>J9</xm:sqref>
        </x14:dataValidation>
        <x14:dataValidation type="list" allowBlank="1" showInputMessage="1" showErrorMessage="1" xr:uid="{C710F8CD-A71A-4BB0-AD16-751AA9EB1178}">
          <x14:formula1>
            <xm:f>Settings!$A$11:$G$11</xm:f>
          </x14:formula1>
          <xm:sqref>D9</xm:sqref>
        </x14:dataValidation>
        <x14:dataValidation type="list" allowBlank="1" showInputMessage="1" showErrorMessage="1" xr:uid="{650C4276-7F35-4687-95C0-B0CBFF6F298A}">
          <x14:formula1>
            <xm:f>Settings!$A$5:$O$5</xm:f>
          </x14:formula1>
          <xm:sqref>T6:T100</xm:sqref>
        </x14:dataValidation>
        <x14:dataValidation type="list" allowBlank="1" showInputMessage="1" showErrorMessage="1" xr:uid="{58BB082E-3F60-4E2A-94EA-F7520DAD1901}">
          <x14:formula1>
            <xm:f>Settings!$A$19:$I$19</xm:f>
          </x14:formula1>
          <xm:sqref>K6:K51</xm:sqref>
        </x14:dataValidation>
        <x14:dataValidation type="list" allowBlank="1" showInputMessage="1" showErrorMessage="1" xr:uid="{3F59B8C6-2F14-4648-918C-167AF11DFF37}">
          <x14:formula1>
            <xm:f>Settings!$A$29:$A$73</xm:f>
          </x14:formula1>
          <xm:sqref>H6:H50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98C4-1E8D-4FB7-922F-C02EFAB14091}">
  <dimension ref="A1:H201"/>
  <sheetViews>
    <sheetView topLeftCell="A47" workbookViewId="0">
      <selection activeCell="G76" sqref="G76"/>
    </sheetView>
  </sheetViews>
  <sheetFormatPr defaultRowHeight="15" x14ac:dyDescent="0.25"/>
  <cols>
    <col min="1" max="1" width="23.5703125" customWidth="1"/>
    <col min="2" max="4" width="21.42578125" customWidth="1"/>
    <col min="5" max="5" width="25.42578125" customWidth="1"/>
    <col min="6" max="7" width="21.42578125" customWidth="1"/>
    <col min="8" max="8" width="114.28515625" customWidth="1"/>
  </cols>
  <sheetData>
    <row r="1" spans="1:8" ht="24" x14ac:dyDescent="0.25">
      <c r="A1" s="98" t="s">
        <v>154</v>
      </c>
      <c r="B1" s="98"/>
      <c r="C1" s="98"/>
      <c r="D1" s="98"/>
      <c r="E1" s="98"/>
      <c r="F1" s="98"/>
      <c r="G1" s="98"/>
      <c r="H1" s="98"/>
    </row>
    <row r="2" spans="1:8" ht="19.5" x14ac:dyDescent="0.25">
      <c r="A2" s="99" t="s">
        <v>144</v>
      </c>
      <c r="B2" s="99"/>
      <c r="C2" s="99"/>
      <c r="D2" s="99"/>
      <c r="E2" s="99"/>
      <c r="F2" s="99"/>
      <c r="G2" s="99"/>
      <c r="H2" s="99"/>
    </row>
    <row r="3" spans="1:8" ht="18" thickBot="1" x14ac:dyDescent="0.3">
      <c r="A3" s="100" t="s">
        <v>145</v>
      </c>
      <c r="B3" s="100"/>
      <c r="C3" s="100"/>
      <c r="D3" s="100"/>
      <c r="E3" s="100"/>
      <c r="F3" s="100"/>
      <c r="G3" s="100"/>
      <c r="H3" s="100"/>
    </row>
    <row r="4" spans="1:8" ht="15.75" thickTop="1" x14ac:dyDescent="0.25">
      <c r="A4" s="8" t="s">
        <v>173</v>
      </c>
      <c r="B4" s="10" t="s">
        <v>147</v>
      </c>
      <c r="C4" s="10" t="s">
        <v>148</v>
      </c>
      <c r="D4" s="8" t="s">
        <v>167</v>
      </c>
      <c r="E4" s="8" t="s">
        <v>174</v>
      </c>
      <c r="F4" s="8" t="s">
        <v>175</v>
      </c>
      <c r="G4" s="8" t="s">
        <v>27</v>
      </c>
      <c r="H4" s="8" t="s">
        <v>149</v>
      </c>
    </row>
    <row r="5" spans="1:8" x14ac:dyDescent="0.25">
      <c r="A5" s="14" t="s">
        <v>183</v>
      </c>
      <c r="B5" s="14" t="s">
        <v>144</v>
      </c>
      <c r="C5" s="14" t="s">
        <v>184</v>
      </c>
      <c r="D5" s="14" t="s">
        <v>1301</v>
      </c>
      <c r="E5" s="14" t="s">
        <v>188</v>
      </c>
      <c r="F5" s="14" t="s">
        <v>191</v>
      </c>
      <c r="G5" s="14" t="s">
        <v>161</v>
      </c>
      <c r="H5" s="14" t="s">
        <v>213</v>
      </c>
    </row>
    <row r="6" spans="1:8" x14ac:dyDescent="0.25">
      <c r="A6" s="14" t="s">
        <v>181</v>
      </c>
      <c r="B6" s="14" t="s">
        <v>144</v>
      </c>
      <c r="C6" s="14" t="s">
        <v>185</v>
      </c>
      <c r="D6" s="14" t="s">
        <v>1301</v>
      </c>
      <c r="E6" s="14" t="s">
        <v>189</v>
      </c>
      <c r="F6" s="14" t="s">
        <v>191</v>
      </c>
      <c r="G6" s="14" t="s">
        <v>161</v>
      </c>
      <c r="H6" s="14" t="s">
        <v>214</v>
      </c>
    </row>
    <row r="7" spans="1:8" x14ac:dyDescent="0.25">
      <c r="A7" s="14" t="s">
        <v>182</v>
      </c>
      <c r="B7" s="14" t="s">
        <v>144</v>
      </c>
      <c r="C7" s="14" t="s">
        <v>186</v>
      </c>
      <c r="D7" s="14" t="s">
        <v>1301</v>
      </c>
      <c r="E7" s="14" t="s">
        <v>190</v>
      </c>
      <c r="F7" s="14" t="s">
        <v>191</v>
      </c>
      <c r="G7" s="14" t="s">
        <v>161</v>
      </c>
      <c r="H7" s="14" t="s">
        <v>215</v>
      </c>
    </row>
    <row r="8" spans="1:8" x14ac:dyDescent="0.25">
      <c r="A8" s="14" t="s">
        <v>1210</v>
      </c>
      <c r="B8" s="14" t="s">
        <v>144</v>
      </c>
      <c r="C8" s="14" t="s">
        <v>203</v>
      </c>
      <c r="D8" s="14" t="s">
        <v>171</v>
      </c>
      <c r="E8" s="14" t="s">
        <v>204</v>
      </c>
      <c r="F8" s="14" t="s">
        <v>199</v>
      </c>
      <c r="G8" s="14" t="s">
        <v>164</v>
      </c>
      <c r="H8" s="14" t="s">
        <v>205</v>
      </c>
    </row>
    <row r="9" spans="1:8" x14ac:dyDescent="0.25">
      <c r="A9" s="14" t="s">
        <v>1211</v>
      </c>
      <c r="B9" s="14" t="s">
        <v>144</v>
      </c>
      <c r="C9" s="14" t="s">
        <v>206</v>
      </c>
      <c r="D9" s="14" t="s">
        <v>195</v>
      </c>
      <c r="E9" s="14" t="s">
        <v>187</v>
      </c>
      <c r="F9" s="14" t="s">
        <v>191</v>
      </c>
      <c r="G9" s="14" t="s">
        <v>164</v>
      </c>
      <c r="H9" s="14" t="s">
        <v>207</v>
      </c>
    </row>
    <row r="10" spans="1:8" x14ac:dyDescent="0.25">
      <c r="A10" s="14" t="s">
        <v>1212</v>
      </c>
      <c r="B10" s="14" t="s">
        <v>144</v>
      </c>
      <c r="C10" s="14" t="s">
        <v>219</v>
      </c>
      <c r="D10" s="14" t="s">
        <v>196</v>
      </c>
      <c r="E10" s="14" t="s">
        <v>187</v>
      </c>
      <c r="F10" s="14" t="s">
        <v>200</v>
      </c>
      <c r="G10" s="14" t="s">
        <v>164</v>
      </c>
      <c r="H10" s="14" t="s">
        <v>220</v>
      </c>
    </row>
    <row r="11" spans="1:8" x14ac:dyDescent="0.25">
      <c r="A11" s="14" t="s">
        <v>1242</v>
      </c>
      <c r="B11" s="14" t="s">
        <v>144</v>
      </c>
      <c r="C11" s="14" t="s">
        <v>1243</v>
      </c>
      <c r="D11" s="14" t="s">
        <v>233</v>
      </c>
      <c r="E11" s="14" t="s">
        <v>216</v>
      </c>
      <c r="F11" s="14" t="s">
        <v>200</v>
      </c>
      <c r="G11" s="14" t="s">
        <v>162</v>
      </c>
      <c r="H11" s="14" t="s">
        <v>1244</v>
      </c>
    </row>
    <row r="12" spans="1:8" x14ac:dyDescent="0.25">
      <c r="A12" s="14" t="s">
        <v>1213</v>
      </c>
      <c r="B12" s="14" t="s">
        <v>144</v>
      </c>
      <c r="C12" s="14" t="s">
        <v>208</v>
      </c>
      <c r="D12" s="14" t="s">
        <v>172</v>
      </c>
      <c r="E12" s="14" t="s">
        <v>209</v>
      </c>
      <c r="F12" s="14" t="s">
        <v>199</v>
      </c>
      <c r="G12" s="14" t="s">
        <v>164</v>
      </c>
      <c r="H12" s="14" t="s">
        <v>210</v>
      </c>
    </row>
    <row r="13" spans="1:8" x14ac:dyDescent="0.25">
      <c r="A13" s="14" t="s">
        <v>1214</v>
      </c>
      <c r="B13" s="14" t="s">
        <v>144</v>
      </c>
      <c r="C13" s="14" t="s">
        <v>212</v>
      </c>
      <c r="D13" s="14" t="s">
        <v>195</v>
      </c>
      <c r="E13" s="14" t="s">
        <v>187</v>
      </c>
      <c r="F13" s="14" t="s">
        <v>191</v>
      </c>
      <c r="G13" s="14" t="s">
        <v>164</v>
      </c>
      <c r="H13" s="14" t="s">
        <v>211</v>
      </c>
    </row>
    <row r="14" spans="1:8" x14ac:dyDescent="0.25">
      <c r="A14" s="68" t="s">
        <v>1215</v>
      </c>
      <c r="B14" s="68" t="s">
        <v>144</v>
      </c>
      <c r="C14" s="68" t="s">
        <v>221</v>
      </c>
      <c r="D14" s="68" t="s">
        <v>196</v>
      </c>
      <c r="E14" s="68" t="s">
        <v>187</v>
      </c>
      <c r="F14" s="68" t="s">
        <v>200</v>
      </c>
      <c r="G14" s="68" t="s">
        <v>161</v>
      </c>
      <c r="H14" s="68" t="s">
        <v>220</v>
      </c>
    </row>
    <row r="15" spans="1:8" x14ac:dyDescent="0.25">
      <c r="A15" s="14" t="s">
        <v>1240</v>
      </c>
      <c r="B15" s="14" t="s">
        <v>144</v>
      </c>
      <c r="C15" s="14" t="s">
        <v>1241</v>
      </c>
      <c r="D15" s="14" t="s">
        <v>233</v>
      </c>
      <c r="E15" s="14" t="s">
        <v>216</v>
      </c>
      <c r="F15" s="14" t="s">
        <v>200</v>
      </c>
      <c r="G15" s="14" t="s">
        <v>162</v>
      </c>
      <c r="H15" s="14" t="s">
        <v>1244</v>
      </c>
    </row>
    <row r="16" spans="1:8" x14ac:dyDescent="0.25">
      <c r="A16" s="14" t="s">
        <v>222</v>
      </c>
      <c r="B16" s="14" t="s">
        <v>144</v>
      </c>
      <c r="C16" s="14" t="s">
        <v>223</v>
      </c>
      <c r="D16" s="14" t="s">
        <v>195</v>
      </c>
      <c r="E16" s="14" t="s">
        <v>216</v>
      </c>
      <c r="F16" s="14" t="s">
        <v>218</v>
      </c>
      <c r="G16" s="14" t="s">
        <v>161</v>
      </c>
      <c r="H16" s="14" t="s">
        <v>217</v>
      </c>
    </row>
    <row r="17" spans="1:8" x14ac:dyDescent="0.25">
      <c r="A17" s="14" t="s">
        <v>1216</v>
      </c>
      <c r="B17" s="14" t="s">
        <v>144</v>
      </c>
      <c r="C17" s="14" t="s">
        <v>236</v>
      </c>
      <c r="D17" s="14" t="s">
        <v>233</v>
      </c>
      <c r="E17" s="14" t="s">
        <v>235</v>
      </c>
      <c r="F17" s="14" t="s">
        <v>200</v>
      </c>
      <c r="G17" s="14" t="s">
        <v>164</v>
      </c>
      <c r="H17" s="14"/>
    </row>
    <row r="18" spans="1:8" x14ac:dyDescent="0.25">
      <c r="A18" s="14" t="s">
        <v>1281</v>
      </c>
      <c r="B18" s="14" t="s">
        <v>144</v>
      </c>
      <c r="C18" s="14" t="s">
        <v>1282</v>
      </c>
      <c r="D18" s="14" t="s">
        <v>233</v>
      </c>
      <c r="E18" s="14" t="s">
        <v>235</v>
      </c>
      <c r="F18" s="14" t="s">
        <v>200</v>
      </c>
      <c r="G18" s="14" t="s">
        <v>164</v>
      </c>
      <c r="H18" s="14"/>
    </row>
    <row r="19" spans="1:8" x14ac:dyDescent="0.25">
      <c r="A19" s="14" t="s">
        <v>1217</v>
      </c>
      <c r="B19" s="14" t="s">
        <v>144</v>
      </c>
      <c r="C19" s="14" t="s">
        <v>237</v>
      </c>
      <c r="D19" s="14" t="s">
        <v>233</v>
      </c>
      <c r="E19" s="14" t="s">
        <v>235</v>
      </c>
      <c r="F19" s="14" t="s">
        <v>200</v>
      </c>
      <c r="G19" s="14" t="s">
        <v>164</v>
      </c>
      <c r="H19" s="14"/>
    </row>
    <row r="20" spans="1:8" x14ac:dyDescent="0.25">
      <c r="A20" s="14" t="s">
        <v>1218</v>
      </c>
      <c r="B20" s="14" t="s">
        <v>144</v>
      </c>
      <c r="C20" s="14" t="s">
        <v>239</v>
      </c>
      <c r="D20" s="14" t="s">
        <v>233</v>
      </c>
      <c r="E20" s="14" t="s">
        <v>235</v>
      </c>
      <c r="F20" s="14" t="s">
        <v>200</v>
      </c>
      <c r="G20" s="14" t="s">
        <v>164</v>
      </c>
      <c r="H20" s="14"/>
    </row>
    <row r="21" spans="1:8" x14ac:dyDescent="0.25">
      <c r="A21" s="14" t="s">
        <v>1283</v>
      </c>
      <c r="B21" s="14" t="s">
        <v>144</v>
      </c>
      <c r="C21" s="14" t="s">
        <v>1284</v>
      </c>
      <c r="D21" s="14" t="s">
        <v>233</v>
      </c>
      <c r="E21" s="14" t="s">
        <v>235</v>
      </c>
      <c r="F21" s="14" t="s">
        <v>200</v>
      </c>
      <c r="G21" s="14" t="s">
        <v>164</v>
      </c>
      <c r="H21" s="14"/>
    </row>
    <row r="22" spans="1:8" x14ac:dyDescent="0.25">
      <c r="A22" s="14" t="s">
        <v>1219</v>
      </c>
      <c r="B22" s="14" t="s">
        <v>144</v>
      </c>
      <c r="C22" s="14" t="s">
        <v>240</v>
      </c>
      <c r="D22" s="14" t="s">
        <v>233</v>
      </c>
      <c r="E22" s="14" t="s">
        <v>235</v>
      </c>
      <c r="F22" s="14" t="s">
        <v>200</v>
      </c>
      <c r="G22" s="14" t="s">
        <v>164</v>
      </c>
      <c r="H22" s="14"/>
    </row>
    <row r="23" spans="1:8" x14ac:dyDescent="0.25">
      <c r="A23" s="14" t="s">
        <v>1220</v>
      </c>
      <c r="B23" s="14" t="s">
        <v>144</v>
      </c>
      <c r="C23" s="14" t="s">
        <v>238</v>
      </c>
      <c r="D23" s="14" t="s">
        <v>234</v>
      </c>
      <c r="E23" s="14" t="s">
        <v>235</v>
      </c>
      <c r="F23" s="14" t="s">
        <v>191</v>
      </c>
      <c r="G23" s="14" t="s">
        <v>164</v>
      </c>
      <c r="H23" s="15" t="s">
        <v>247</v>
      </c>
    </row>
    <row r="24" spans="1:8" x14ac:dyDescent="0.25">
      <c r="A24" s="14" t="s">
        <v>1221</v>
      </c>
      <c r="B24" s="14" t="s">
        <v>144</v>
      </c>
      <c r="C24" s="14" t="s">
        <v>241</v>
      </c>
      <c r="D24" s="14" t="s">
        <v>234</v>
      </c>
      <c r="E24" s="14" t="s">
        <v>235</v>
      </c>
      <c r="F24" s="14" t="s">
        <v>191</v>
      </c>
      <c r="G24" s="14" t="s">
        <v>164</v>
      </c>
      <c r="H24" s="14"/>
    </row>
    <row r="25" spans="1:8" x14ac:dyDescent="0.25">
      <c r="A25" s="14" t="s">
        <v>1222</v>
      </c>
      <c r="B25" s="14" t="s">
        <v>144</v>
      </c>
      <c r="C25" s="14" t="s">
        <v>243</v>
      </c>
      <c r="D25" s="14" t="s">
        <v>234</v>
      </c>
      <c r="E25" s="14" t="s">
        <v>235</v>
      </c>
      <c r="F25" s="14" t="s">
        <v>191</v>
      </c>
      <c r="G25" s="14" t="s">
        <v>164</v>
      </c>
      <c r="H25" s="14"/>
    </row>
    <row r="26" spans="1:8" x14ac:dyDescent="0.25">
      <c r="A26" s="14" t="s">
        <v>1223</v>
      </c>
      <c r="B26" s="14" t="s">
        <v>144</v>
      </c>
      <c r="C26" s="14" t="s">
        <v>245</v>
      </c>
      <c r="D26" s="14" t="s">
        <v>234</v>
      </c>
      <c r="E26" s="14" t="s">
        <v>235</v>
      </c>
      <c r="F26" s="14" t="s">
        <v>191</v>
      </c>
      <c r="G26" s="14" t="s">
        <v>164</v>
      </c>
      <c r="H26" s="14"/>
    </row>
    <row r="27" spans="1:8" x14ac:dyDescent="0.25">
      <c r="A27" s="14" t="s">
        <v>1224</v>
      </c>
      <c r="B27" s="14" t="s">
        <v>144</v>
      </c>
      <c r="C27" s="14" t="s">
        <v>244</v>
      </c>
      <c r="D27" s="14" t="s">
        <v>281</v>
      </c>
      <c r="E27" s="14" t="s">
        <v>242</v>
      </c>
      <c r="F27" s="14" t="s">
        <v>191</v>
      </c>
      <c r="G27" s="14" t="s">
        <v>164</v>
      </c>
      <c r="H27" s="14"/>
    </row>
    <row r="28" spans="1:8" x14ac:dyDescent="0.25">
      <c r="A28" s="14" t="s">
        <v>1225</v>
      </c>
      <c r="B28" s="14" t="s">
        <v>144</v>
      </c>
      <c r="C28" s="14" t="s">
        <v>246</v>
      </c>
      <c r="D28" s="14" t="s">
        <v>281</v>
      </c>
      <c r="E28" s="14" t="s">
        <v>242</v>
      </c>
      <c r="F28" s="14" t="s">
        <v>191</v>
      </c>
      <c r="G28" s="14" t="s">
        <v>164</v>
      </c>
      <c r="H28" s="14"/>
    </row>
    <row r="29" spans="1:8" x14ac:dyDescent="0.25">
      <c r="A29" s="14" t="s">
        <v>1226</v>
      </c>
      <c r="B29" s="14" t="s">
        <v>144</v>
      </c>
      <c r="C29" s="14" t="s">
        <v>252</v>
      </c>
      <c r="D29" s="14" t="s">
        <v>171</v>
      </c>
      <c r="E29" s="14" t="s">
        <v>254</v>
      </c>
      <c r="F29" s="14" t="s">
        <v>199</v>
      </c>
      <c r="G29" s="14" t="s">
        <v>164</v>
      </c>
      <c r="H29" s="14"/>
    </row>
    <row r="30" spans="1:8" x14ac:dyDescent="0.25">
      <c r="A30" s="14" t="s">
        <v>1228</v>
      </c>
      <c r="B30" s="14" t="s">
        <v>144</v>
      </c>
      <c r="C30" s="14" t="s">
        <v>253</v>
      </c>
      <c r="D30" s="14" t="s">
        <v>195</v>
      </c>
      <c r="E30" s="14" t="s">
        <v>187</v>
      </c>
      <c r="F30" s="14" t="s">
        <v>218</v>
      </c>
      <c r="G30" s="14" t="s">
        <v>164</v>
      </c>
      <c r="H30" s="14"/>
    </row>
    <row r="31" spans="1:8" x14ac:dyDescent="0.25">
      <c r="A31" s="14" t="s">
        <v>1227</v>
      </c>
      <c r="B31" s="14" t="s">
        <v>144</v>
      </c>
      <c r="C31" s="14" t="s">
        <v>278</v>
      </c>
      <c r="D31" s="14" t="s">
        <v>196</v>
      </c>
      <c r="E31" s="14" t="s">
        <v>187</v>
      </c>
      <c r="F31" s="14" t="s">
        <v>218</v>
      </c>
      <c r="G31" s="14" t="s">
        <v>164</v>
      </c>
      <c r="H31" s="14"/>
    </row>
    <row r="32" spans="1:8" x14ac:dyDescent="0.25">
      <c r="A32" s="14" t="s">
        <v>1238</v>
      </c>
      <c r="B32" s="14" t="s">
        <v>144</v>
      </c>
      <c r="C32" s="14" t="s">
        <v>1239</v>
      </c>
      <c r="D32" s="14" t="s">
        <v>233</v>
      </c>
      <c r="E32" s="14" t="s">
        <v>216</v>
      </c>
      <c r="F32" s="14" t="s">
        <v>200</v>
      </c>
      <c r="G32" s="14" t="s">
        <v>162</v>
      </c>
      <c r="H32" s="14" t="s">
        <v>1244</v>
      </c>
    </row>
    <row r="33" spans="1:8" x14ac:dyDescent="0.25">
      <c r="A33" s="14" t="s">
        <v>1229</v>
      </c>
      <c r="B33" s="14" t="s">
        <v>144</v>
      </c>
      <c r="C33" s="14" t="s">
        <v>1231</v>
      </c>
      <c r="D33" s="14" t="s">
        <v>172</v>
      </c>
      <c r="E33" s="14" t="s">
        <v>1235</v>
      </c>
      <c r="F33" s="14" t="s">
        <v>199</v>
      </c>
      <c r="G33" s="14" t="s">
        <v>164</v>
      </c>
      <c r="H33" s="14"/>
    </row>
    <row r="34" spans="1:8" x14ac:dyDescent="0.25">
      <c r="A34" s="14" t="s">
        <v>1230</v>
      </c>
      <c r="B34" s="14" t="s">
        <v>144</v>
      </c>
      <c r="C34" s="14" t="s">
        <v>1232</v>
      </c>
      <c r="D34" s="14" t="s">
        <v>195</v>
      </c>
      <c r="E34" s="14" t="s">
        <v>187</v>
      </c>
      <c r="F34" s="14" t="s">
        <v>218</v>
      </c>
      <c r="G34" s="14" t="s">
        <v>164</v>
      </c>
      <c r="H34" s="14"/>
    </row>
    <row r="35" spans="1:8" x14ac:dyDescent="0.25">
      <c r="A35" s="14" t="s">
        <v>1234</v>
      </c>
      <c r="B35" s="14" t="s">
        <v>144</v>
      </c>
      <c r="C35" s="14" t="s">
        <v>1233</v>
      </c>
      <c r="D35" s="14" t="s">
        <v>196</v>
      </c>
      <c r="E35" s="14" t="s">
        <v>187</v>
      </c>
      <c r="F35" s="14" t="s">
        <v>218</v>
      </c>
      <c r="G35" s="14" t="s">
        <v>164</v>
      </c>
      <c r="H35" s="14"/>
    </row>
    <row r="36" spans="1:8" x14ac:dyDescent="0.25">
      <c r="A36" s="14" t="s">
        <v>1236</v>
      </c>
      <c r="B36" s="14" t="s">
        <v>144</v>
      </c>
      <c r="C36" s="14" t="s">
        <v>1237</v>
      </c>
      <c r="D36" s="14" t="s">
        <v>233</v>
      </c>
      <c r="E36" s="14" t="s">
        <v>216</v>
      </c>
      <c r="F36" s="14" t="s">
        <v>200</v>
      </c>
      <c r="G36" s="14" t="s">
        <v>162</v>
      </c>
      <c r="H36" s="14" t="s">
        <v>1244</v>
      </c>
    </row>
    <row r="37" spans="1:8" x14ac:dyDescent="0.25">
      <c r="A37" s="14" t="s">
        <v>1245</v>
      </c>
      <c r="B37" s="14" t="s">
        <v>144</v>
      </c>
      <c r="C37" s="14" t="s">
        <v>1249</v>
      </c>
      <c r="D37" s="14" t="s">
        <v>171</v>
      </c>
      <c r="E37" s="14" t="s">
        <v>1253</v>
      </c>
      <c r="F37" s="14" t="s">
        <v>199</v>
      </c>
      <c r="G37" s="14" t="s">
        <v>164</v>
      </c>
      <c r="H37" s="14"/>
    </row>
    <row r="38" spans="1:8" x14ac:dyDescent="0.25">
      <c r="A38" s="14" t="s">
        <v>1246</v>
      </c>
      <c r="B38" s="14" t="s">
        <v>144</v>
      </c>
      <c r="C38" s="14" t="s">
        <v>1250</v>
      </c>
      <c r="D38" s="14" t="s">
        <v>195</v>
      </c>
      <c r="E38" s="14" t="s">
        <v>187</v>
      </c>
      <c r="F38" s="14" t="s">
        <v>218</v>
      </c>
      <c r="G38" s="14" t="s">
        <v>164</v>
      </c>
      <c r="H38" s="14"/>
    </row>
    <row r="39" spans="1:8" x14ac:dyDescent="0.25">
      <c r="A39" s="14" t="s">
        <v>1247</v>
      </c>
      <c r="B39" s="14" t="s">
        <v>144</v>
      </c>
      <c r="C39" s="14" t="s">
        <v>1251</v>
      </c>
      <c r="D39" s="14" t="s">
        <v>196</v>
      </c>
      <c r="E39" s="14" t="s">
        <v>187</v>
      </c>
      <c r="F39" s="14" t="s">
        <v>218</v>
      </c>
      <c r="G39" s="14" t="s">
        <v>164</v>
      </c>
      <c r="H39" s="14"/>
    </row>
    <row r="40" spans="1:8" x14ac:dyDescent="0.25">
      <c r="A40" s="14" t="s">
        <v>1248</v>
      </c>
      <c r="B40" s="14" t="s">
        <v>144</v>
      </c>
      <c r="C40" s="14" t="s">
        <v>1252</v>
      </c>
      <c r="D40" s="14" t="s">
        <v>233</v>
      </c>
      <c r="E40" s="14" t="s">
        <v>216</v>
      </c>
      <c r="F40" s="14" t="s">
        <v>200</v>
      </c>
      <c r="G40" s="14" t="s">
        <v>162</v>
      </c>
      <c r="H40" s="14" t="s">
        <v>1244</v>
      </c>
    </row>
    <row r="41" spans="1:8" x14ac:dyDescent="0.25">
      <c r="A41" s="14" t="s">
        <v>1257</v>
      </c>
      <c r="B41" s="14" t="s">
        <v>144</v>
      </c>
      <c r="C41" s="14" t="s">
        <v>1258</v>
      </c>
      <c r="D41" s="14" t="s">
        <v>172</v>
      </c>
      <c r="E41" s="14" t="s">
        <v>1262</v>
      </c>
      <c r="F41" s="14" t="s">
        <v>199</v>
      </c>
      <c r="G41" s="14" t="s">
        <v>164</v>
      </c>
      <c r="H41" s="9"/>
    </row>
    <row r="42" spans="1:8" x14ac:dyDescent="0.25">
      <c r="A42" s="14" t="s">
        <v>1254</v>
      </c>
      <c r="B42" s="14" t="s">
        <v>144</v>
      </c>
      <c r="C42" s="14" t="s">
        <v>1259</v>
      </c>
      <c r="D42" s="14" t="s">
        <v>195</v>
      </c>
      <c r="E42" s="14" t="s">
        <v>187</v>
      </c>
      <c r="F42" s="14" t="s">
        <v>218</v>
      </c>
      <c r="G42" s="14" t="s">
        <v>164</v>
      </c>
    </row>
    <row r="43" spans="1:8" x14ac:dyDescent="0.25">
      <c r="A43" s="14" t="s">
        <v>1255</v>
      </c>
      <c r="B43" s="14" t="s">
        <v>144</v>
      </c>
      <c r="C43" s="14" t="s">
        <v>1260</v>
      </c>
      <c r="D43" s="14" t="s">
        <v>196</v>
      </c>
      <c r="E43" s="14" t="s">
        <v>187</v>
      </c>
      <c r="F43" s="14" t="s">
        <v>218</v>
      </c>
      <c r="G43" s="14" t="s">
        <v>164</v>
      </c>
    </row>
    <row r="44" spans="1:8" x14ac:dyDescent="0.25">
      <c r="A44" s="14" t="s">
        <v>1256</v>
      </c>
      <c r="B44" s="14" t="s">
        <v>144</v>
      </c>
      <c r="C44" s="14" t="s">
        <v>1261</v>
      </c>
      <c r="D44" s="14" t="s">
        <v>233</v>
      </c>
      <c r="E44" s="14" t="s">
        <v>216</v>
      </c>
      <c r="F44" s="14" t="s">
        <v>200</v>
      </c>
      <c r="G44" s="14" t="s">
        <v>164</v>
      </c>
      <c r="H44" s="14" t="s">
        <v>1244</v>
      </c>
    </row>
    <row r="45" spans="1:8" x14ac:dyDescent="0.25">
      <c r="A45" s="14" t="s">
        <v>1328</v>
      </c>
      <c r="B45" s="14" t="s">
        <v>144</v>
      </c>
      <c r="C45" s="14" t="s">
        <v>1305</v>
      </c>
      <c r="D45" s="14" t="s">
        <v>171</v>
      </c>
      <c r="E45" s="14" t="s">
        <v>1302</v>
      </c>
      <c r="F45" s="14" t="s">
        <v>199</v>
      </c>
      <c r="G45" s="14" t="s">
        <v>164</v>
      </c>
    </row>
    <row r="46" spans="1:8" x14ac:dyDescent="0.25">
      <c r="A46" s="14" t="s">
        <v>1294</v>
      </c>
      <c r="B46" s="14" t="s">
        <v>144</v>
      </c>
      <c r="C46" s="14" t="s">
        <v>1297</v>
      </c>
      <c r="D46" s="14" t="s">
        <v>195</v>
      </c>
      <c r="E46" s="14" t="s">
        <v>187</v>
      </c>
      <c r="F46" s="14" t="s">
        <v>218</v>
      </c>
      <c r="G46" s="14" t="s">
        <v>164</v>
      </c>
    </row>
    <row r="47" spans="1:8" x14ac:dyDescent="0.25">
      <c r="A47" s="14" t="s">
        <v>1295</v>
      </c>
      <c r="B47" s="14" t="s">
        <v>144</v>
      </c>
      <c r="C47" s="14" t="s">
        <v>1298</v>
      </c>
      <c r="D47" s="14" t="s">
        <v>196</v>
      </c>
      <c r="E47" s="14" t="s">
        <v>187</v>
      </c>
      <c r="F47" s="14" t="s">
        <v>218</v>
      </c>
      <c r="G47" s="14" t="s">
        <v>164</v>
      </c>
    </row>
    <row r="48" spans="1:8" x14ac:dyDescent="0.25">
      <c r="A48" s="14" t="s">
        <v>1296</v>
      </c>
      <c r="B48" s="14" t="s">
        <v>144</v>
      </c>
      <c r="C48" s="14" t="s">
        <v>1299</v>
      </c>
      <c r="D48" s="14" t="s">
        <v>233</v>
      </c>
      <c r="E48" s="14" t="s">
        <v>1300</v>
      </c>
      <c r="F48" s="14" t="s">
        <v>200</v>
      </c>
      <c r="G48" s="14" t="s">
        <v>162</v>
      </c>
      <c r="H48" s="14" t="s">
        <v>1387</v>
      </c>
    </row>
    <row r="49" spans="1:8" x14ac:dyDescent="0.25">
      <c r="A49" s="14" t="s">
        <v>1383</v>
      </c>
      <c r="B49" s="14" t="s">
        <v>144</v>
      </c>
      <c r="C49" s="14" t="s">
        <v>2695</v>
      </c>
      <c r="D49" s="14" t="s">
        <v>171</v>
      </c>
      <c r="E49" s="14" t="s">
        <v>1386</v>
      </c>
      <c r="F49" s="14" t="s">
        <v>199</v>
      </c>
      <c r="G49" s="14" t="s">
        <v>164</v>
      </c>
    </row>
    <row r="50" spans="1:8" x14ac:dyDescent="0.25">
      <c r="A50" s="14" t="s">
        <v>1384</v>
      </c>
      <c r="B50" s="14" t="s">
        <v>144</v>
      </c>
      <c r="C50" s="14" t="s">
        <v>2696</v>
      </c>
      <c r="D50" s="14" t="s">
        <v>196</v>
      </c>
      <c r="E50" s="14" t="s">
        <v>187</v>
      </c>
      <c r="F50" s="14" t="s">
        <v>218</v>
      </c>
      <c r="G50" s="14" t="s">
        <v>164</v>
      </c>
    </row>
    <row r="51" spans="1:8" x14ac:dyDescent="0.25">
      <c r="A51" s="14" t="s">
        <v>1385</v>
      </c>
      <c r="B51" s="14" t="s">
        <v>144</v>
      </c>
      <c r="C51" s="14" t="s">
        <v>2697</v>
      </c>
      <c r="D51" s="14" t="s">
        <v>233</v>
      </c>
      <c r="E51" s="14" t="s">
        <v>216</v>
      </c>
      <c r="F51" s="14" t="s">
        <v>200</v>
      </c>
      <c r="G51" s="14" t="s">
        <v>162</v>
      </c>
      <c r="H51" s="14" t="s">
        <v>1244</v>
      </c>
    </row>
    <row r="52" spans="1:8" x14ac:dyDescent="0.25">
      <c r="A52" s="14" t="s">
        <v>2737</v>
      </c>
      <c r="B52" s="14" t="s">
        <v>144</v>
      </c>
      <c r="C52" s="14" t="s">
        <v>2738</v>
      </c>
      <c r="D52" s="14" t="s">
        <v>234</v>
      </c>
      <c r="E52" s="14" t="s">
        <v>2739</v>
      </c>
      <c r="F52" s="14" t="s">
        <v>191</v>
      </c>
      <c r="G52" s="14" t="s">
        <v>164</v>
      </c>
      <c r="H52" s="14" t="s">
        <v>2740</v>
      </c>
    </row>
    <row r="53" spans="1:8" x14ac:dyDescent="0.25">
      <c r="A53" s="14" t="s">
        <v>2741</v>
      </c>
      <c r="B53" s="14" t="s">
        <v>144</v>
      </c>
      <c r="C53" s="14" t="s">
        <v>2742</v>
      </c>
      <c r="D53" s="14" t="s">
        <v>234</v>
      </c>
      <c r="E53" s="14" t="s">
        <v>2739</v>
      </c>
      <c r="F53" s="14" t="s">
        <v>191</v>
      </c>
      <c r="G53" s="14" t="s">
        <v>164</v>
      </c>
      <c r="H53" s="14" t="s">
        <v>2740</v>
      </c>
    </row>
    <row r="54" spans="1:8" x14ac:dyDescent="0.25">
      <c r="A54" s="14" t="s">
        <v>2745</v>
      </c>
      <c r="B54" s="14" t="s">
        <v>144</v>
      </c>
      <c r="C54" s="14" t="s">
        <v>2748</v>
      </c>
      <c r="D54" s="14" t="s">
        <v>195</v>
      </c>
      <c r="E54" s="14" t="s">
        <v>187</v>
      </c>
      <c r="F54" s="14" t="s">
        <v>199</v>
      </c>
      <c r="G54" s="14" t="s">
        <v>164</v>
      </c>
    </row>
    <row r="55" spans="1:8" x14ac:dyDescent="0.25">
      <c r="A55" s="14" t="s">
        <v>2746</v>
      </c>
      <c r="B55" s="14" t="s">
        <v>144</v>
      </c>
      <c r="C55" s="14" t="s">
        <v>2749</v>
      </c>
      <c r="D55" s="14" t="s">
        <v>196</v>
      </c>
      <c r="E55" s="14" t="s">
        <v>187</v>
      </c>
      <c r="F55" s="14" t="s">
        <v>218</v>
      </c>
      <c r="G55" s="14" t="s">
        <v>164</v>
      </c>
    </row>
    <row r="56" spans="1:8" x14ac:dyDescent="0.25">
      <c r="A56" s="14" t="s">
        <v>2747</v>
      </c>
      <c r="B56" s="14" t="s">
        <v>144</v>
      </c>
      <c r="C56" s="14" t="s">
        <v>2750</v>
      </c>
      <c r="D56" s="14" t="s">
        <v>233</v>
      </c>
      <c r="E56" s="14" t="s">
        <v>216</v>
      </c>
      <c r="F56" s="14" t="s">
        <v>200</v>
      </c>
      <c r="G56" s="14" t="s">
        <v>162</v>
      </c>
      <c r="H56" s="14" t="s">
        <v>1244</v>
      </c>
    </row>
    <row r="57" spans="1:8" x14ac:dyDescent="0.25">
      <c r="A57" s="14" t="s">
        <v>2792</v>
      </c>
      <c r="B57" s="14" t="s">
        <v>144</v>
      </c>
      <c r="C57" s="14" t="s">
        <v>2796</v>
      </c>
      <c r="D57" s="14" t="s">
        <v>171</v>
      </c>
      <c r="E57" s="14" t="s">
        <v>187</v>
      </c>
      <c r="F57" s="14" t="s">
        <v>199</v>
      </c>
      <c r="G57" s="14" t="s">
        <v>164</v>
      </c>
    </row>
    <row r="58" spans="1:8" x14ac:dyDescent="0.25">
      <c r="A58" s="14" t="s">
        <v>2794</v>
      </c>
      <c r="B58" s="14" t="s">
        <v>144</v>
      </c>
      <c r="C58" s="14" t="s">
        <v>2795</v>
      </c>
      <c r="D58" s="14" t="s">
        <v>195</v>
      </c>
      <c r="E58" s="14" t="s">
        <v>187</v>
      </c>
      <c r="F58" s="14" t="s">
        <v>218</v>
      </c>
      <c r="G58" s="14" t="s">
        <v>164</v>
      </c>
    </row>
    <row r="59" spans="1:8" x14ac:dyDescent="0.25">
      <c r="A59" s="14" t="s">
        <v>2790</v>
      </c>
      <c r="B59" s="14" t="s">
        <v>144</v>
      </c>
      <c r="C59" s="14" t="s">
        <v>2797</v>
      </c>
      <c r="D59" s="14" t="s">
        <v>196</v>
      </c>
      <c r="E59" s="14" t="s">
        <v>187</v>
      </c>
      <c r="F59" s="14" t="s">
        <v>218</v>
      </c>
      <c r="G59" s="14" t="s">
        <v>164</v>
      </c>
    </row>
    <row r="60" spans="1:8" x14ac:dyDescent="0.25">
      <c r="A60" s="14" t="s">
        <v>2791</v>
      </c>
      <c r="B60" s="14" t="s">
        <v>144</v>
      </c>
      <c r="C60" s="14" t="s">
        <v>2798</v>
      </c>
      <c r="D60" s="14" t="s">
        <v>233</v>
      </c>
      <c r="E60" s="14" t="s">
        <v>216</v>
      </c>
      <c r="F60" s="14" t="s">
        <v>200</v>
      </c>
      <c r="G60" s="14" t="s">
        <v>162</v>
      </c>
      <c r="H60" s="14" t="s">
        <v>1244</v>
      </c>
    </row>
    <row r="61" spans="1:8" x14ac:dyDescent="0.25">
      <c r="A61" s="14" t="s">
        <v>2840</v>
      </c>
      <c r="B61" s="14" t="s">
        <v>144</v>
      </c>
      <c r="C61" s="14" t="s">
        <v>2836</v>
      </c>
      <c r="D61" s="14" t="s">
        <v>171</v>
      </c>
      <c r="E61" s="14" t="s">
        <v>187</v>
      </c>
      <c r="F61" s="14" t="s">
        <v>199</v>
      </c>
      <c r="G61" s="14" t="s">
        <v>164</v>
      </c>
    </row>
    <row r="62" spans="1:8" x14ac:dyDescent="0.25">
      <c r="A62" s="14" t="s">
        <v>2833</v>
      </c>
      <c r="B62" s="14" t="s">
        <v>144</v>
      </c>
      <c r="C62" s="14" t="s">
        <v>2837</v>
      </c>
      <c r="D62" s="14" t="s">
        <v>195</v>
      </c>
      <c r="E62" s="14" t="s">
        <v>187</v>
      </c>
      <c r="F62" s="14" t="s">
        <v>218</v>
      </c>
      <c r="G62" s="14" t="s">
        <v>164</v>
      </c>
    </row>
    <row r="63" spans="1:8" x14ac:dyDescent="0.25">
      <c r="A63" s="14" t="s">
        <v>2834</v>
      </c>
      <c r="B63" s="14" t="s">
        <v>144</v>
      </c>
      <c r="C63" s="14" t="s">
        <v>2838</v>
      </c>
      <c r="D63" s="14" t="s">
        <v>196</v>
      </c>
      <c r="E63" s="14" t="s">
        <v>187</v>
      </c>
      <c r="F63" s="14" t="s">
        <v>218</v>
      </c>
      <c r="G63" s="14" t="s">
        <v>164</v>
      </c>
    </row>
    <row r="64" spans="1:8" x14ac:dyDescent="0.25">
      <c r="A64" s="14" t="s">
        <v>2835</v>
      </c>
      <c r="B64" s="14" t="s">
        <v>144</v>
      </c>
      <c r="C64" s="14" t="s">
        <v>2839</v>
      </c>
      <c r="D64" s="14" t="s">
        <v>233</v>
      </c>
      <c r="E64" s="14" t="s">
        <v>216</v>
      </c>
      <c r="F64" s="14" t="s">
        <v>200</v>
      </c>
      <c r="G64" s="14" t="s">
        <v>162</v>
      </c>
      <c r="H64" s="14" t="s">
        <v>1244</v>
      </c>
    </row>
    <row r="65" spans="1:8" x14ac:dyDescent="0.25">
      <c r="A65" s="14" t="s">
        <v>2850</v>
      </c>
      <c r="B65" s="14" t="s">
        <v>144</v>
      </c>
      <c r="C65" s="14" t="s">
        <v>2848</v>
      </c>
      <c r="D65" s="14" t="s">
        <v>224</v>
      </c>
      <c r="E65" s="14" t="s">
        <v>2844</v>
      </c>
      <c r="F65" s="14" t="s">
        <v>200</v>
      </c>
      <c r="G65" s="14" t="s">
        <v>162</v>
      </c>
      <c r="H65" s="14" t="s">
        <v>2845</v>
      </c>
    </row>
    <row r="66" spans="1:8" x14ac:dyDescent="0.25">
      <c r="A66" s="14" t="s">
        <v>2851</v>
      </c>
      <c r="B66" s="14" t="s">
        <v>144</v>
      </c>
      <c r="C66" s="14" t="s">
        <v>2849</v>
      </c>
      <c r="D66" s="14" t="s">
        <v>224</v>
      </c>
      <c r="E66" s="14" t="s">
        <v>2844</v>
      </c>
      <c r="F66" s="14" t="s">
        <v>200</v>
      </c>
      <c r="G66" s="14" t="s">
        <v>161</v>
      </c>
      <c r="H66" s="14" t="s">
        <v>2845</v>
      </c>
    </row>
    <row r="67" spans="1:8" x14ac:dyDescent="0.25">
      <c r="A67" s="14" t="s">
        <v>2852</v>
      </c>
      <c r="B67" s="14" t="s">
        <v>144</v>
      </c>
      <c r="C67" s="14" t="s">
        <v>2856</v>
      </c>
      <c r="D67" s="14" t="s">
        <v>224</v>
      </c>
      <c r="E67" s="14" t="s">
        <v>2844</v>
      </c>
      <c r="F67" s="14" t="s">
        <v>200</v>
      </c>
      <c r="G67" s="14" t="s">
        <v>162</v>
      </c>
    </row>
    <row r="68" spans="1:8" x14ac:dyDescent="0.25">
      <c r="A68" s="14" t="s">
        <v>2853</v>
      </c>
      <c r="B68" s="14" t="s">
        <v>144</v>
      </c>
      <c r="C68" s="14" t="s">
        <v>2857</v>
      </c>
      <c r="D68" s="14" t="s">
        <v>224</v>
      </c>
      <c r="E68" s="14" t="s">
        <v>2844</v>
      </c>
      <c r="F68" s="14" t="s">
        <v>200</v>
      </c>
      <c r="G68" s="14" t="s">
        <v>162</v>
      </c>
    </row>
    <row r="69" spans="1:8" x14ac:dyDescent="0.25">
      <c r="A69" s="14" t="s">
        <v>2854</v>
      </c>
      <c r="B69" s="14" t="s">
        <v>144</v>
      </c>
      <c r="C69" s="14" t="s">
        <v>2858</v>
      </c>
      <c r="D69" s="14" t="s">
        <v>224</v>
      </c>
      <c r="E69" s="14" t="s">
        <v>2844</v>
      </c>
      <c r="F69" s="14" t="s">
        <v>200</v>
      </c>
      <c r="G69" s="14" t="s">
        <v>162</v>
      </c>
    </row>
    <row r="70" spans="1:8" x14ac:dyDescent="0.25">
      <c r="A70" s="14" t="s">
        <v>2855</v>
      </c>
      <c r="B70" s="14" t="s">
        <v>144</v>
      </c>
      <c r="C70" s="14" t="s">
        <v>2859</v>
      </c>
      <c r="D70" s="14" t="s">
        <v>224</v>
      </c>
      <c r="E70" s="14" t="s">
        <v>2844</v>
      </c>
      <c r="F70" s="14" t="s">
        <v>200</v>
      </c>
      <c r="G70" s="14" t="s">
        <v>161</v>
      </c>
    </row>
    <row r="71" spans="1:8" x14ac:dyDescent="0.25">
      <c r="A71" s="14" t="s">
        <v>2860</v>
      </c>
      <c r="B71" s="14" t="s">
        <v>144</v>
      </c>
      <c r="C71" s="14" t="s">
        <v>2862</v>
      </c>
      <c r="D71" s="14" t="s">
        <v>224</v>
      </c>
      <c r="E71" s="14" t="s">
        <v>2844</v>
      </c>
      <c r="F71" s="14" t="s">
        <v>200</v>
      </c>
      <c r="G71" s="14" t="s">
        <v>162</v>
      </c>
    </row>
    <row r="72" spans="1:8" x14ac:dyDescent="0.25">
      <c r="A72" s="14" t="s">
        <v>2861</v>
      </c>
      <c r="B72" s="14" t="s">
        <v>144</v>
      </c>
      <c r="C72" s="14" t="s">
        <v>2863</v>
      </c>
      <c r="D72" s="14" t="s">
        <v>224</v>
      </c>
      <c r="E72" s="14" t="s">
        <v>2844</v>
      </c>
      <c r="F72" s="14" t="s">
        <v>200</v>
      </c>
      <c r="G72" s="14" t="s">
        <v>162</v>
      </c>
    </row>
    <row r="73" spans="1:8" x14ac:dyDescent="0.25">
      <c r="A73" s="14" t="s">
        <v>2864</v>
      </c>
      <c r="B73" s="14" t="s">
        <v>144</v>
      </c>
      <c r="C73" s="14" t="s">
        <v>2868</v>
      </c>
      <c r="D73" s="14" t="s">
        <v>172</v>
      </c>
      <c r="E73" s="14" t="s">
        <v>187</v>
      </c>
      <c r="F73" s="14" t="s">
        <v>199</v>
      </c>
      <c r="G73" s="14" t="s">
        <v>164</v>
      </c>
    </row>
    <row r="74" spans="1:8" x14ac:dyDescent="0.25">
      <c r="A74" s="14" t="s">
        <v>2865</v>
      </c>
      <c r="B74" s="14" t="s">
        <v>144</v>
      </c>
      <c r="C74" s="14" t="s">
        <v>2869</v>
      </c>
      <c r="D74" s="14" t="s">
        <v>195</v>
      </c>
      <c r="E74" s="14" t="s">
        <v>187</v>
      </c>
      <c r="F74" s="14" t="s">
        <v>218</v>
      </c>
      <c r="G74" s="14" t="s">
        <v>164</v>
      </c>
    </row>
    <row r="75" spans="1:8" x14ac:dyDescent="0.25">
      <c r="A75" s="14" t="s">
        <v>2866</v>
      </c>
      <c r="B75" s="14" t="s">
        <v>144</v>
      </c>
      <c r="C75" s="14" t="s">
        <v>2870</v>
      </c>
      <c r="D75" s="14" t="s">
        <v>196</v>
      </c>
      <c r="E75" s="14" t="s">
        <v>187</v>
      </c>
      <c r="F75" s="14" t="s">
        <v>218</v>
      </c>
      <c r="G75" s="14" t="s">
        <v>164</v>
      </c>
    </row>
    <row r="76" spans="1:8" x14ac:dyDescent="0.25">
      <c r="A76" s="14" t="s">
        <v>2867</v>
      </c>
      <c r="B76" s="14" t="s">
        <v>144</v>
      </c>
      <c r="C76" s="14" t="s">
        <v>2871</v>
      </c>
      <c r="D76" s="14" t="s">
        <v>233</v>
      </c>
      <c r="E76" s="14" t="s">
        <v>216</v>
      </c>
      <c r="F76" s="14" t="s">
        <v>200</v>
      </c>
      <c r="G76" s="14" t="s">
        <v>162</v>
      </c>
    </row>
    <row r="77" spans="1:8" x14ac:dyDescent="0.25">
      <c r="A77" s="14"/>
      <c r="B77" s="14" t="s">
        <v>144</v>
      </c>
      <c r="D77" s="14"/>
      <c r="F77" s="14"/>
      <c r="G77" s="14"/>
    </row>
    <row r="78" spans="1:8" x14ac:dyDescent="0.25">
      <c r="A78" s="14"/>
      <c r="B78" s="14" t="s">
        <v>144</v>
      </c>
      <c r="D78" s="14"/>
      <c r="F78" s="14"/>
      <c r="G78" s="14"/>
    </row>
    <row r="79" spans="1:8" x14ac:dyDescent="0.25">
      <c r="A79" s="14"/>
      <c r="B79" s="14" t="s">
        <v>144</v>
      </c>
      <c r="D79" s="14"/>
      <c r="F79" s="14"/>
      <c r="G79" s="14"/>
    </row>
    <row r="80" spans="1:8" x14ac:dyDescent="0.25">
      <c r="A80" s="14"/>
      <c r="B80" s="14" t="s">
        <v>144</v>
      </c>
      <c r="D80" s="14"/>
      <c r="F80" s="14"/>
      <c r="G80" s="14"/>
    </row>
    <row r="81" spans="1:7" x14ac:dyDescent="0.25">
      <c r="A81" s="14"/>
      <c r="B81" s="14" t="s">
        <v>144</v>
      </c>
      <c r="D81" s="14"/>
      <c r="F81" s="14"/>
      <c r="G81" s="14"/>
    </row>
    <row r="82" spans="1:7" x14ac:dyDescent="0.25">
      <c r="A82" s="14"/>
      <c r="B82" s="14" t="s">
        <v>144</v>
      </c>
      <c r="D82" s="14"/>
      <c r="F82" s="14"/>
      <c r="G82" s="14"/>
    </row>
    <row r="83" spans="1:7" x14ac:dyDescent="0.25">
      <c r="A83" s="14"/>
      <c r="B83" s="14" t="s">
        <v>144</v>
      </c>
      <c r="D83" s="14"/>
      <c r="F83" s="14"/>
      <c r="G83" s="14"/>
    </row>
    <row r="84" spans="1:7" x14ac:dyDescent="0.25">
      <c r="A84" s="14"/>
      <c r="B84" s="14" t="s">
        <v>144</v>
      </c>
      <c r="D84" s="14"/>
      <c r="F84" s="14"/>
      <c r="G84" s="14"/>
    </row>
    <row r="85" spans="1:7" x14ac:dyDescent="0.25">
      <c r="A85" s="14"/>
      <c r="B85" s="14" t="s">
        <v>144</v>
      </c>
      <c r="D85" s="14"/>
      <c r="F85" s="14"/>
      <c r="G85" s="14"/>
    </row>
    <row r="86" spans="1:7" x14ac:dyDescent="0.25">
      <c r="A86" s="14"/>
      <c r="B86" s="14" t="s">
        <v>144</v>
      </c>
      <c r="D86" s="14"/>
      <c r="F86" s="14"/>
      <c r="G86" s="14"/>
    </row>
    <row r="87" spans="1:7" x14ac:dyDescent="0.25">
      <c r="A87" s="14"/>
      <c r="B87" s="14" t="s">
        <v>144</v>
      </c>
      <c r="D87" s="14"/>
      <c r="F87" s="14"/>
      <c r="G87" s="14"/>
    </row>
    <row r="88" spans="1:7" x14ac:dyDescent="0.25">
      <c r="A88" s="14"/>
      <c r="B88" s="14" t="s">
        <v>144</v>
      </c>
      <c r="D88" s="14"/>
      <c r="F88" s="14"/>
      <c r="G88" s="14"/>
    </row>
    <row r="89" spans="1:7" x14ac:dyDescent="0.25">
      <c r="A89" s="14"/>
      <c r="B89" s="14" t="s">
        <v>144</v>
      </c>
      <c r="D89" s="14"/>
      <c r="F89" s="14"/>
      <c r="G89" s="14"/>
    </row>
    <row r="90" spans="1:7" x14ac:dyDescent="0.25">
      <c r="A90" s="14"/>
      <c r="B90" s="14" t="s">
        <v>144</v>
      </c>
      <c r="D90" s="14"/>
      <c r="F90" s="14"/>
      <c r="G90" s="14"/>
    </row>
    <row r="91" spans="1:7" x14ac:dyDescent="0.25">
      <c r="A91" s="14"/>
      <c r="B91" s="14" t="s">
        <v>144</v>
      </c>
      <c r="D91" s="14"/>
      <c r="F91" s="14"/>
      <c r="G91" s="14"/>
    </row>
    <row r="92" spans="1:7" x14ac:dyDescent="0.25">
      <c r="A92" s="14"/>
      <c r="B92" s="14" t="s">
        <v>144</v>
      </c>
      <c r="D92" s="14"/>
      <c r="F92" s="14"/>
      <c r="G92" s="14"/>
    </row>
    <row r="93" spans="1:7" x14ac:dyDescent="0.25">
      <c r="A93" s="14"/>
      <c r="B93" s="14" t="s">
        <v>144</v>
      </c>
      <c r="D93" s="14"/>
      <c r="F93" s="14"/>
      <c r="G93" s="14"/>
    </row>
    <row r="94" spans="1:7" x14ac:dyDescent="0.25">
      <c r="A94" s="14"/>
      <c r="B94" s="14" t="s">
        <v>144</v>
      </c>
      <c r="D94" s="14"/>
      <c r="F94" s="14"/>
      <c r="G94" s="14"/>
    </row>
    <row r="95" spans="1:7" x14ac:dyDescent="0.25">
      <c r="A95" s="14"/>
      <c r="B95" s="14" t="s">
        <v>144</v>
      </c>
      <c r="D95" s="14"/>
      <c r="F95" s="14"/>
      <c r="G95" s="14"/>
    </row>
    <row r="96" spans="1:7" x14ac:dyDescent="0.25">
      <c r="A96" s="14"/>
      <c r="B96" s="14" t="s">
        <v>144</v>
      </c>
      <c r="D96" s="14"/>
      <c r="F96" s="14"/>
      <c r="G96" s="14"/>
    </row>
    <row r="97" spans="1:7" x14ac:dyDescent="0.25">
      <c r="A97" s="14"/>
      <c r="B97" s="14" t="s">
        <v>144</v>
      </c>
      <c r="D97" s="14"/>
      <c r="F97" s="14"/>
      <c r="G97" s="14"/>
    </row>
    <row r="98" spans="1:7" x14ac:dyDescent="0.25">
      <c r="A98" s="14"/>
      <c r="B98" s="14" t="s">
        <v>144</v>
      </c>
      <c r="D98" s="14"/>
      <c r="F98" s="14"/>
      <c r="G98" s="14"/>
    </row>
    <row r="99" spans="1:7" x14ac:dyDescent="0.25">
      <c r="A99" s="14"/>
      <c r="B99" s="14" t="s">
        <v>144</v>
      </c>
      <c r="D99" s="14"/>
      <c r="F99" s="14"/>
      <c r="G99" s="14"/>
    </row>
    <row r="100" spans="1:7" x14ac:dyDescent="0.25">
      <c r="A100" s="14"/>
      <c r="B100" s="14" t="s">
        <v>144</v>
      </c>
      <c r="D100" s="14"/>
      <c r="F100" s="14"/>
      <c r="G100" s="14"/>
    </row>
    <row r="101" spans="1:7" x14ac:dyDescent="0.25">
      <c r="A101" s="14"/>
      <c r="B101" s="14" t="s">
        <v>144</v>
      </c>
      <c r="D101" s="14"/>
      <c r="F101" s="14"/>
      <c r="G101" s="14"/>
    </row>
    <row r="102" spans="1:7" x14ac:dyDescent="0.25">
      <c r="A102" s="14"/>
      <c r="B102" s="14" t="s">
        <v>144</v>
      </c>
      <c r="D102" s="14"/>
      <c r="F102" s="14"/>
      <c r="G102" s="14"/>
    </row>
    <row r="103" spans="1:7" x14ac:dyDescent="0.25">
      <c r="A103" s="14"/>
      <c r="B103" s="14" t="s">
        <v>144</v>
      </c>
      <c r="D103" s="14"/>
      <c r="F103" s="14"/>
      <c r="G103" s="14"/>
    </row>
    <row r="104" spans="1:7" x14ac:dyDescent="0.25">
      <c r="A104" s="14"/>
      <c r="B104" s="14" t="s">
        <v>144</v>
      </c>
      <c r="D104" s="14"/>
      <c r="F104" s="14"/>
      <c r="G104" s="14"/>
    </row>
    <row r="105" spans="1:7" x14ac:dyDescent="0.25">
      <c r="A105" s="14"/>
      <c r="B105" s="14" t="s">
        <v>144</v>
      </c>
      <c r="D105" s="14"/>
      <c r="F105" s="14"/>
      <c r="G105" s="14"/>
    </row>
    <row r="106" spans="1:7" x14ac:dyDescent="0.25">
      <c r="A106" s="14"/>
      <c r="B106" s="14" t="s">
        <v>144</v>
      </c>
      <c r="D106" s="14"/>
      <c r="F106" s="14"/>
      <c r="G106" s="14"/>
    </row>
    <row r="107" spans="1:7" x14ac:dyDescent="0.25">
      <c r="A107" s="14"/>
      <c r="B107" s="14" t="s">
        <v>144</v>
      </c>
      <c r="D107" s="14"/>
      <c r="F107" s="14"/>
      <c r="G107" s="14"/>
    </row>
    <row r="108" spans="1:7" x14ac:dyDescent="0.25">
      <c r="A108" s="14"/>
      <c r="B108" s="14" t="s">
        <v>144</v>
      </c>
      <c r="D108" s="14"/>
      <c r="F108" s="14"/>
      <c r="G108" s="14"/>
    </row>
    <row r="109" spans="1:7" x14ac:dyDescent="0.25">
      <c r="A109" s="14"/>
      <c r="B109" s="14" t="s">
        <v>144</v>
      </c>
      <c r="D109" s="14"/>
      <c r="F109" s="14"/>
      <c r="G109" s="14"/>
    </row>
    <row r="110" spans="1:7" x14ac:dyDescent="0.25">
      <c r="A110" s="14"/>
      <c r="B110" s="14" t="s">
        <v>144</v>
      </c>
      <c r="D110" s="14"/>
      <c r="F110" s="14"/>
      <c r="G110" s="14"/>
    </row>
    <row r="111" spans="1:7" x14ac:dyDescent="0.25">
      <c r="A111" s="14"/>
      <c r="B111" s="14" t="s">
        <v>144</v>
      </c>
      <c r="D111" s="14"/>
      <c r="F111" s="14"/>
      <c r="G111" s="14"/>
    </row>
    <row r="112" spans="1:7" x14ac:dyDescent="0.25">
      <c r="A112" s="14"/>
      <c r="B112" s="14" t="s">
        <v>144</v>
      </c>
      <c r="D112" s="14"/>
      <c r="F112" s="14"/>
      <c r="G112" s="14"/>
    </row>
    <row r="113" spans="1:7" x14ac:dyDescent="0.25">
      <c r="A113" s="14"/>
      <c r="B113" s="14" t="s">
        <v>144</v>
      </c>
      <c r="D113" s="14"/>
      <c r="F113" s="14"/>
      <c r="G113" s="14"/>
    </row>
    <row r="114" spans="1:7" x14ac:dyDescent="0.25">
      <c r="A114" s="14"/>
      <c r="B114" s="14" t="s">
        <v>144</v>
      </c>
      <c r="D114" s="14"/>
      <c r="F114" s="14"/>
      <c r="G114" s="14"/>
    </row>
    <row r="115" spans="1:7" x14ac:dyDescent="0.25">
      <c r="A115" s="14"/>
      <c r="B115" s="14" t="s">
        <v>144</v>
      </c>
      <c r="D115" s="14"/>
      <c r="F115" s="14"/>
      <c r="G115" s="14"/>
    </row>
    <row r="116" spans="1:7" x14ac:dyDescent="0.25">
      <c r="A116" s="14"/>
      <c r="B116" s="14" t="s">
        <v>144</v>
      </c>
      <c r="D116" s="14"/>
      <c r="F116" s="14"/>
      <c r="G116" s="14"/>
    </row>
    <row r="117" spans="1:7" x14ac:dyDescent="0.25">
      <c r="A117" s="14"/>
      <c r="B117" s="14" t="s">
        <v>144</v>
      </c>
      <c r="D117" s="14"/>
      <c r="F117" s="14"/>
      <c r="G117" s="14"/>
    </row>
    <row r="118" spans="1:7" x14ac:dyDescent="0.25">
      <c r="A118" s="14"/>
      <c r="B118" s="14" t="s">
        <v>144</v>
      </c>
      <c r="D118" s="14"/>
      <c r="F118" s="14"/>
      <c r="G118" s="14"/>
    </row>
    <row r="119" spans="1:7" x14ac:dyDescent="0.25">
      <c r="A119" s="14"/>
      <c r="B119" s="14" t="s">
        <v>144</v>
      </c>
      <c r="D119" s="14"/>
      <c r="F119" s="14"/>
      <c r="G119" s="14"/>
    </row>
    <row r="120" spans="1:7" x14ac:dyDescent="0.25">
      <c r="A120" s="14"/>
      <c r="B120" s="14" t="s">
        <v>144</v>
      </c>
      <c r="D120" s="14"/>
      <c r="F120" s="14"/>
      <c r="G120" s="14"/>
    </row>
    <row r="121" spans="1:7" x14ac:dyDescent="0.25">
      <c r="A121" s="14"/>
      <c r="B121" s="14" t="s">
        <v>144</v>
      </c>
      <c r="D121" s="14"/>
      <c r="F121" s="14"/>
      <c r="G121" s="14"/>
    </row>
    <row r="122" spans="1:7" x14ac:dyDescent="0.25">
      <c r="A122" s="14"/>
      <c r="B122" s="14" t="s">
        <v>144</v>
      </c>
      <c r="D122" s="14"/>
      <c r="F122" s="14"/>
      <c r="G122" s="14"/>
    </row>
    <row r="123" spans="1:7" x14ac:dyDescent="0.25">
      <c r="A123" s="14"/>
      <c r="B123" s="14" t="s">
        <v>144</v>
      </c>
      <c r="D123" s="14"/>
      <c r="F123" s="14"/>
      <c r="G123" s="14"/>
    </row>
    <row r="124" spans="1:7" x14ac:dyDescent="0.25">
      <c r="A124" s="14"/>
      <c r="B124" s="14" t="s">
        <v>144</v>
      </c>
      <c r="D124" s="14"/>
      <c r="F124" s="14"/>
      <c r="G124" s="14"/>
    </row>
    <row r="125" spans="1:7" x14ac:dyDescent="0.25">
      <c r="A125" s="14"/>
      <c r="B125" s="14" t="s">
        <v>144</v>
      </c>
      <c r="D125" s="14"/>
      <c r="F125" s="14"/>
      <c r="G125" s="14"/>
    </row>
    <row r="126" spans="1:7" x14ac:dyDescent="0.25">
      <c r="A126" s="14"/>
      <c r="B126" s="14" t="s">
        <v>144</v>
      </c>
      <c r="D126" s="14"/>
      <c r="F126" s="14"/>
      <c r="G126" s="14"/>
    </row>
    <row r="127" spans="1:7" x14ac:dyDescent="0.25">
      <c r="A127" s="14"/>
      <c r="B127" s="14" t="s">
        <v>144</v>
      </c>
      <c r="D127" s="14"/>
      <c r="F127" s="14"/>
      <c r="G127" s="14"/>
    </row>
    <row r="128" spans="1:7" x14ac:dyDescent="0.25">
      <c r="A128" s="14"/>
      <c r="B128" s="14" t="s">
        <v>144</v>
      </c>
      <c r="D128" s="14"/>
      <c r="F128" s="14"/>
      <c r="G128" s="14"/>
    </row>
    <row r="129" spans="1:7" x14ac:dyDescent="0.25">
      <c r="A129" s="14"/>
      <c r="B129" s="14" t="s">
        <v>144</v>
      </c>
      <c r="D129" s="14"/>
      <c r="F129" s="14"/>
      <c r="G129" s="14"/>
    </row>
    <row r="130" spans="1:7" x14ac:dyDescent="0.25">
      <c r="A130" s="14"/>
      <c r="B130" s="14" t="s">
        <v>144</v>
      </c>
      <c r="D130" s="14"/>
      <c r="F130" s="14"/>
      <c r="G130" s="14"/>
    </row>
    <row r="131" spans="1:7" x14ac:dyDescent="0.25">
      <c r="A131" s="14"/>
      <c r="B131" s="14" t="s">
        <v>144</v>
      </c>
      <c r="D131" s="14"/>
      <c r="F131" s="14"/>
      <c r="G131" s="14"/>
    </row>
    <row r="132" spans="1:7" x14ac:dyDescent="0.25">
      <c r="A132" s="14"/>
      <c r="B132" s="14" t="s">
        <v>144</v>
      </c>
      <c r="D132" s="14"/>
      <c r="F132" s="14"/>
      <c r="G132" s="14"/>
    </row>
    <row r="133" spans="1:7" x14ac:dyDescent="0.25">
      <c r="A133" s="14"/>
      <c r="B133" s="14" t="s">
        <v>144</v>
      </c>
      <c r="D133" s="14"/>
      <c r="F133" s="14"/>
      <c r="G133" s="14"/>
    </row>
    <row r="134" spans="1:7" x14ac:dyDescent="0.25">
      <c r="A134" s="14"/>
      <c r="B134" s="14" t="s">
        <v>144</v>
      </c>
      <c r="D134" s="14"/>
      <c r="F134" s="14"/>
      <c r="G134" s="14"/>
    </row>
    <row r="135" spans="1:7" x14ac:dyDescent="0.25">
      <c r="A135" s="14"/>
      <c r="B135" s="14" t="s">
        <v>144</v>
      </c>
      <c r="D135" s="14"/>
      <c r="F135" s="14"/>
      <c r="G135" s="14"/>
    </row>
    <row r="136" spans="1:7" x14ac:dyDescent="0.25">
      <c r="A136" s="14"/>
      <c r="B136" s="14" t="s">
        <v>144</v>
      </c>
      <c r="D136" s="14"/>
      <c r="F136" s="14"/>
      <c r="G136" s="14"/>
    </row>
    <row r="137" spans="1:7" x14ac:dyDescent="0.25">
      <c r="A137" s="14"/>
      <c r="B137" s="14" t="s">
        <v>144</v>
      </c>
      <c r="D137" s="14"/>
      <c r="F137" s="14"/>
      <c r="G137" s="14"/>
    </row>
    <row r="138" spans="1:7" x14ac:dyDescent="0.25">
      <c r="A138" s="14"/>
      <c r="B138" s="14" t="s">
        <v>144</v>
      </c>
      <c r="D138" s="14"/>
      <c r="F138" s="14"/>
      <c r="G138" s="14"/>
    </row>
    <row r="139" spans="1:7" x14ac:dyDescent="0.25">
      <c r="A139" s="14"/>
      <c r="B139" s="14" t="s">
        <v>144</v>
      </c>
      <c r="D139" s="14"/>
      <c r="F139" s="14"/>
      <c r="G139" s="14"/>
    </row>
    <row r="140" spans="1:7" x14ac:dyDescent="0.25">
      <c r="A140" s="14"/>
      <c r="B140" s="14" t="s">
        <v>144</v>
      </c>
      <c r="D140" s="14"/>
      <c r="F140" s="14"/>
      <c r="G140" s="14"/>
    </row>
    <row r="141" spans="1:7" x14ac:dyDescent="0.25">
      <c r="A141" s="14"/>
      <c r="B141" s="14" t="s">
        <v>144</v>
      </c>
      <c r="D141" s="14"/>
      <c r="F141" s="14"/>
      <c r="G141" s="14"/>
    </row>
    <row r="142" spans="1:7" x14ac:dyDescent="0.25">
      <c r="A142" s="14"/>
      <c r="B142" s="14" t="s">
        <v>144</v>
      </c>
      <c r="D142" s="14"/>
      <c r="F142" s="14"/>
      <c r="G142" s="14"/>
    </row>
    <row r="143" spans="1:7" x14ac:dyDescent="0.25">
      <c r="A143" s="14"/>
      <c r="B143" s="14" t="s">
        <v>144</v>
      </c>
      <c r="D143" s="14"/>
      <c r="F143" s="14"/>
      <c r="G143" s="14"/>
    </row>
    <row r="144" spans="1:7" x14ac:dyDescent="0.25">
      <c r="A144" s="14"/>
      <c r="B144" s="14" t="s">
        <v>144</v>
      </c>
      <c r="D144" s="14"/>
      <c r="F144" s="14"/>
      <c r="G144" s="14"/>
    </row>
    <row r="145" spans="1:7" x14ac:dyDescent="0.25">
      <c r="A145" s="14"/>
      <c r="B145" s="14" t="s">
        <v>144</v>
      </c>
      <c r="D145" s="14"/>
      <c r="F145" s="14"/>
      <c r="G145" s="14"/>
    </row>
    <row r="146" spans="1:7" x14ac:dyDescent="0.25">
      <c r="A146" s="14"/>
      <c r="B146" s="14" t="s">
        <v>144</v>
      </c>
      <c r="D146" s="14"/>
      <c r="F146" s="14"/>
      <c r="G146" s="14"/>
    </row>
    <row r="147" spans="1:7" x14ac:dyDescent="0.25">
      <c r="A147" s="14"/>
      <c r="B147" s="14" t="s">
        <v>144</v>
      </c>
      <c r="D147" s="14"/>
      <c r="F147" s="14"/>
      <c r="G147" s="14"/>
    </row>
    <row r="148" spans="1:7" x14ac:dyDescent="0.25">
      <c r="A148" s="14"/>
      <c r="B148" s="14" t="s">
        <v>144</v>
      </c>
      <c r="D148" s="14"/>
      <c r="F148" s="14"/>
      <c r="G148" s="14"/>
    </row>
    <row r="149" spans="1:7" x14ac:dyDescent="0.25">
      <c r="A149" s="14"/>
      <c r="B149" s="14" t="s">
        <v>144</v>
      </c>
      <c r="D149" s="14"/>
      <c r="F149" s="14"/>
      <c r="G149" s="14"/>
    </row>
    <row r="150" spans="1:7" x14ac:dyDescent="0.25">
      <c r="A150" s="14"/>
      <c r="B150" s="14" t="s">
        <v>144</v>
      </c>
      <c r="D150" s="14"/>
      <c r="F150" s="14"/>
      <c r="G150" s="14"/>
    </row>
    <row r="151" spans="1:7" x14ac:dyDescent="0.25">
      <c r="A151" s="14"/>
      <c r="B151" s="14" t="s">
        <v>144</v>
      </c>
      <c r="D151" s="14"/>
      <c r="F151" s="14"/>
      <c r="G151" s="14"/>
    </row>
    <row r="152" spans="1:7" x14ac:dyDescent="0.25">
      <c r="A152" s="14"/>
      <c r="B152" s="14" t="s">
        <v>144</v>
      </c>
      <c r="D152" s="14"/>
      <c r="F152" s="14"/>
      <c r="G152" s="14"/>
    </row>
    <row r="153" spans="1:7" x14ac:dyDescent="0.25">
      <c r="A153" s="14"/>
      <c r="B153" s="14" t="s">
        <v>144</v>
      </c>
      <c r="D153" s="14"/>
      <c r="F153" s="14"/>
      <c r="G153" s="14"/>
    </row>
    <row r="154" spans="1:7" x14ac:dyDescent="0.25">
      <c r="A154" s="14"/>
      <c r="B154" s="14" t="s">
        <v>144</v>
      </c>
      <c r="D154" s="14"/>
      <c r="F154" s="14"/>
      <c r="G154" s="14"/>
    </row>
    <row r="155" spans="1:7" x14ac:dyDescent="0.25">
      <c r="A155" s="14"/>
      <c r="B155" s="14" t="s">
        <v>144</v>
      </c>
      <c r="D155" s="14"/>
      <c r="F155" s="14"/>
      <c r="G155" s="14"/>
    </row>
    <row r="156" spans="1:7" x14ac:dyDescent="0.25">
      <c r="A156" s="14"/>
      <c r="B156" s="14" t="s">
        <v>144</v>
      </c>
      <c r="D156" s="14"/>
      <c r="F156" s="14"/>
      <c r="G156" s="14"/>
    </row>
    <row r="157" spans="1:7" x14ac:dyDescent="0.25">
      <c r="A157" s="14"/>
      <c r="B157" s="14" t="s">
        <v>144</v>
      </c>
      <c r="D157" s="14"/>
      <c r="F157" s="14"/>
      <c r="G157" s="14"/>
    </row>
    <row r="158" spans="1:7" x14ac:dyDescent="0.25">
      <c r="A158" s="14"/>
      <c r="B158" s="14" t="s">
        <v>144</v>
      </c>
      <c r="D158" s="14"/>
      <c r="F158" s="14"/>
      <c r="G158" s="14"/>
    </row>
    <row r="159" spans="1:7" x14ac:dyDescent="0.25">
      <c r="A159" s="14"/>
      <c r="B159" s="14" t="s">
        <v>144</v>
      </c>
      <c r="D159" s="14"/>
      <c r="F159" s="14"/>
      <c r="G159" s="14"/>
    </row>
    <row r="160" spans="1:7" x14ac:dyDescent="0.25">
      <c r="A160" s="14"/>
      <c r="B160" s="14" t="s">
        <v>144</v>
      </c>
      <c r="D160" s="14"/>
      <c r="F160" s="14"/>
      <c r="G160" s="14"/>
    </row>
    <row r="161" spans="1:7" x14ac:dyDescent="0.25">
      <c r="A161" s="14"/>
      <c r="B161" s="14" t="s">
        <v>144</v>
      </c>
      <c r="D161" s="14"/>
      <c r="F161" s="14"/>
      <c r="G161" s="14"/>
    </row>
    <row r="162" spans="1:7" x14ac:dyDescent="0.25">
      <c r="A162" s="14"/>
      <c r="B162" s="14" t="s">
        <v>144</v>
      </c>
      <c r="D162" s="14"/>
      <c r="F162" s="14"/>
      <c r="G162" s="14"/>
    </row>
    <row r="163" spans="1:7" x14ac:dyDescent="0.25">
      <c r="A163" s="14"/>
      <c r="B163" s="14" t="s">
        <v>144</v>
      </c>
      <c r="D163" s="14"/>
      <c r="F163" s="14"/>
      <c r="G163" s="14"/>
    </row>
    <row r="164" spans="1:7" x14ac:dyDescent="0.25">
      <c r="A164" s="14"/>
      <c r="B164" s="14" t="s">
        <v>144</v>
      </c>
      <c r="D164" s="14"/>
      <c r="F164" s="14"/>
      <c r="G164" s="14"/>
    </row>
    <row r="165" spans="1:7" x14ac:dyDescent="0.25">
      <c r="A165" s="14"/>
      <c r="B165" s="14" t="s">
        <v>144</v>
      </c>
      <c r="D165" s="14"/>
      <c r="F165" s="14"/>
      <c r="G165" s="14"/>
    </row>
    <row r="166" spans="1:7" x14ac:dyDescent="0.25">
      <c r="A166" s="14"/>
      <c r="B166" s="14" t="s">
        <v>144</v>
      </c>
      <c r="D166" s="14"/>
      <c r="F166" s="14"/>
      <c r="G166" s="14"/>
    </row>
    <row r="167" spans="1:7" x14ac:dyDescent="0.25">
      <c r="A167" s="14"/>
      <c r="B167" s="14" t="s">
        <v>144</v>
      </c>
      <c r="D167" s="14"/>
      <c r="F167" s="14"/>
      <c r="G167" s="14"/>
    </row>
    <row r="168" spans="1:7" x14ac:dyDescent="0.25">
      <c r="A168" s="14"/>
      <c r="B168" s="14" t="s">
        <v>144</v>
      </c>
      <c r="D168" s="14"/>
      <c r="F168" s="14"/>
      <c r="G168" s="14"/>
    </row>
    <row r="169" spans="1:7" x14ac:dyDescent="0.25">
      <c r="A169" s="14"/>
      <c r="B169" s="14" t="s">
        <v>144</v>
      </c>
      <c r="D169" s="14"/>
      <c r="F169" s="14"/>
      <c r="G169" s="14"/>
    </row>
    <row r="170" spans="1:7" x14ac:dyDescent="0.25">
      <c r="A170" s="14"/>
      <c r="B170" s="14" t="s">
        <v>144</v>
      </c>
      <c r="D170" s="14"/>
      <c r="F170" s="14"/>
      <c r="G170" s="14"/>
    </row>
    <row r="171" spans="1:7" x14ac:dyDescent="0.25">
      <c r="A171" s="14"/>
      <c r="B171" s="14" t="s">
        <v>144</v>
      </c>
      <c r="D171" s="14"/>
      <c r="F171" s="14"/>
      <c r="G171" s="14"/>
    </row>
    <row r="172" spans="1:7" x14ac:dyDescent="0.25">
      <c r="A172" s="14"/>
      <c r="B172" s="14" t="s">
        <v>144</v>
      </c>
      <c r="D172" s="14"/>
      <c r="F172" s="14"/>
      <c r="G172" s="14"/>
    </row>
    <row r="173" spans="1:7" x14ac:dyDescent="0.25">
      <c r="A173" s="14"/>
      <c r="B173" s="14" t="s">
        <v>144</v>
      </c>
      <c r="D173" s="14"/>
      <c r="F173" s="14"/>
      <c r="G173" s="14"/>
    </row>
    <row r="174" spans="1:7" x14ac:dyDescent="0.25">
      <c r="A174" s="14"/>
      <c r="B174" s="14" t="s">
        <v>144</v>
      </c>
      <c r="D174" s="14"/>
      <c r="F174" s="14"/>
      <c r="G174" s="14"/>
    </row>
    <row r="175" spans="1:7" x14ac:dyDescent="0.25">
      <c r="A175" s="14"/>
      <c r="B175" s="14" t="s">
        <v>144</v>
      </c>
      <c r="D175" s="14"/>
      <c r="F175" s="14"/>
      <c r="G175" s="14"/>
    </row>
    <row r="176" spans="1:7" x14ac:dyDescent="0.25">
      <c r="A176" s="14"/>
      <c r="B176" s="14" t="s">
        <v>144</v>
      </c>
      <c r="D176" s="14"/>
      <c r="F176" s="14"/>
      <c r="G176" s="14"/>
    </row>
    <row r="177" spans="1:7" x14ac:dyDescent="0.25">
      <c r="A177" s="14"/>
      <c r="B177" s="14" t="s">
        <v>144</v>
      </c>
      <c r="D177" s="14"/>
      <c r="F177" s="14"/>
      <c r="G177" s="14"/>
    </row>
    <row r="178" spans="1:7" x14ac:dyDescent="0.25">
      <c r="A178" s="14"/>
      <c r="B178" s="14" t="s">
        <v>144</v>
      </c>
      <c r="D178" s="14"/>
      <c r="F178" s="14"/>
      <c r="G178" s="14"/>
    </row>
    <row r="179" spans="1:7" x14ac:dyDescent="0.25">
      <c r="A179" s="14"/>
      <c r="B179" s="14" t="s">
        <v>144</v>
      </c>
      <c r="D179" s="14"/>
      <c r="F179" s="14"/>
      <c r="G179" s="14"/>
    </row>
    <row r="180" spans="1:7" x14ac:dyDescent="0.25">
      <c r="A180" s="14"/>
      <c r="B180" s="14" t="s">
        <v>144</v>
      </c>
      <c r="D180" s="14"/>
      <c r="F180" s="14"/>
      <c r="G180" s="14"/>
    </row>
    <row r="181" spans="1:7" x14ac:dyDescent="0.25">
      <c r="A181" s="14"/>
      <c r="B181" s="14" t="s">
        <v>144</v>
      </c>
      <c r="D181" s="14"/>
      <c r="F181" s="14"/>
      <c r="G181" s="14"/>
    </row>
    <row r="182" spans="1:7" x14ac:dyDescent="0.25">
      <c r="A182" s="14"/>
      <c r="B182" s="14" t="s">
        <v>144</v>
      </c>
      <c r="D182" s="14"/>
      <c r="F182" s="14"/>
      <c r="G182" s="14"/>
    </row>
    <row r="183" spans="1:7" x14ac:dyDescent="0.25">
      <c r="A183" s="14"/>
      <c r="B183" s="14" t="s">
        <v>144</v>
      </c>
      <c r="D183" s="14"/>
      <c r="F183" s="14"/>
      <c r="G183" s="14"/>
    </row>
    <row r="184" spans="1:7" x14ac:dyDescent="0.25">
      <c r="A184" s="14"/>
      <c r="B184" s="14" t="s">
        <v>144</v>
      </c>
      <c r="D184" s="14"/>
      <c r="F184" s="14"/>
      <c r="G184" s="14"/>
    </row>
    <row r="185" spans="1:7" x14ac:dyDescent="0.25">
      <c r="A185" s="14"/>
      <c r="B185" s="14" t="s">
        <v>144</v>
      </c>
      <c r="D185" s="14"/>
      <c r="F185" s="14"/>
      <c r="G185" s="14"/>
    </row>
    <row r="186" spans="1:7" x14ac:dyDescent="0.25">
      <c r="A186" s="14"/>
      <c r="B186" s="14" t="s">
        <v>144</v>
      </c>
      <c r="D186" s="14"/>
      <c r="F186" s="14"/>
      <c r="G186" s="14"/>
    </row>
    <row r="187" spans="1:7" x14ac:dyDescent="0.25">
      <c r="A187" s="14"/>
      <c r="B187" s="14" t="s">
        <v>144</v>
      </c>
      <c r="D187" s="14"/>
      <c r="F187" s="14"/>
      <c r="G187" s="14"/>
    </row>
    <row r="188" spans="1:7" x14ac:dyDescent="0.25">
      <c r="A188" s="14"/>
      <c r="B188" s="14" t="s">
        <v>144</v>
      </c>
      <c r="D188" s="14"/>
      <c r="F188" s="14"/>
      <c r="G188" s="14"/>
    </row>
    <row r="189" spans="1:7" x14ac:dyDescent="0.25">
      <c r="A189" s="14"/>
      <c r="B189" s="14" t="s">
        <v>144</v>
      </c>
      <c r="D189" s="14"/>
      <c r="F189" s="14"/>
      <c r="G189" s="14"/>
    </row>
    <row r="190" spans="1:7" x14ac:dyDescent="0.25">
      <c r="A190" s="14"/>
      <c r="B190" s="14" t="s">
        <v>144</v>
      </c>
      <c r="D190" s="14"/>
      <c r="F190" s="14"/>
      <c r="G190" s="14"/>
    </row>
    <row r="191" spans="1:7" x14ac:dyDescent="0.25">
      <c r="A191" s="14"/>
      <c r="B191" s="14" t="s">
        <v>144</v>
      </c>
      <c r="D191" s="14"/>
      <c r="F191" s="14"/>
      <c r="G191" s="14"/>
    </row>
    <row r="192" spans="1:7" x14ac:dyDescent="0.25">
      <c r="A192" s="14"/>
      <c r="B192" s="14" t="s">
        <v>144</v>
      </c>
      <c r="D192" s="14"/>
      <c r="F192" s="14"/>
      <c r="G192" s="14"/>
    </row>
    <row r="193" spans="1:7" x14ac:dyDescent="0.25">
      <c r="A193" s="14"/>
      <c r="B193" s="14" t="s">
        <v>144</v>
      </c>
      <c r="D193" s="14"/>
      <c r="F193" s="14"/>
      <c r="G193" s="14"/>
    </row>
    <row r="194" spans="1:7" x14ac:dyDescent="0.25">
      <c r="A194" s="14"/>
      <c r="B194" s="14" t="s">
        <v>144</v>
      </c>
      <c r="D194" s="14"/>
      <c r="F194" s="14"/>
      <c r="G194" s="14"/>
    </row>
    <row r="195" spans="1:7" x14ac:dyDescent="0.25">
      <c r="A195" s="14"/>
      <c r="B195" s="14" t="s">
        <v>144</v>
      </c>
      <c r="D195" s="14"/>
      <c r="F195" s="14"/>
      <c r="G195" s="14"/>
    </row>
    <row r="196" spans="1:7" x14ac:dyDescent="0.25">
      <c r="A196" s="14"/>
      <c r="B196" s="14" t="s">
        <v>144</v>
      </c>
      <c r="D196" s="14"/>
      <c r="F196" s="14"/>
      <c r="G196" s="14"/>
    </row>
    <row r="197" spans="1:7" x14ac:dyDescent="0.25">
      <c r="A197" s="14"/>
      <c r="B197" s="14" t="s">
        <v>144</v>
      </c>
      <c r="D197" s="14"/>
      <c r="F197" s="14"/>
      <c r="G197" s="14"/>
    </row>
    <row r="198" spans="1:7" x14ac:dyDescent="0.25">
      <c r="A198" s="14"/>
      <c r="B198" s="14" t="s">
        <v>144</v>
      </c>
      <c r="D198" s="14"/>
      <c r="F198" s="14"/>
      <c r="G198" s="14"/>
    </row>
    <row r="199" spans="1:7" x14ac:dyDescent="0.25">
      <c r="A199" s="14"/>
      <c r="B199" s="14" t="s">
        <v>144</v>
      </c>
      <c r="D199" s="14"/>
      <c r="F199" s="14"/>
      <c r="G199" s="14"/>
    </row>
    <row r="200" spans="1:7" x14ac:dyDescent="0.25">
      <c r="A200" s="14"/>
      <c r="B200" s="14" t="s">
        <v>144</v>
      </c>
      <c r="D200" s="14"/>
      <c r="F200" s="14"/>
      <c r="G200" s="14"/>
    </row>
    <row r="201" spans="1:7" x14ac:dyDescent="0.25">
      <c r="A201" s="14"/>
      <c r="B201" s="14" t="s">
        <v>144</v>
      </c>
      <c r="D201" s="14"/>
      <c r="F201" s="14"/>
      <c r="G201" s="14"/>
    </row>
  </sheetData>
  <mergeCells count="3">
    <mergeCell ref="A1:H1"/>
    <mergeCell ref="A2:H2"/>
    <mergeCell ref="A3:H3"/>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05745378-FB47-4750-8702-CCA8FCD9A613}">
          <x14:formula1>
            <xm:f>Settings!$A$9:$L$9</xm:f>
          </x14:formula1>
          <xm:sqref>D262:D695</xm:sqref>
        </x14:dataValidation>
        <x14:dataValidation type="list" allowBlank="1" showInputMessage="1" showErrorMessage="1" xr:uid="{82AA74F0-F4E2-4A9F-9030-324961D42EB4}">
          <x14:formula1>
            <xm:f>Settings!$A$5:$F$5</xm:f>
          </x14:formula1>
          <xm:sqref>G5:G201</xm:sqref>
        </x14:dataValidation>
        <x14:dataValidation type="list" allowBlank="1" showInputMessage="1" showErrorMessage="1" xr:uid="{92244758-667F-4E13-9A02-D4690E066788}">
          <x14:formula1>
            <xm:f>Settings!$A$25:$E$25</xm:f>
          </x14:formula1>
          <xm:sqref>F5:F201</xm:sqref>
        </x14:dataValidation>
        <x14:dataValidation type="list" allowBlank="1" showInputMessage="1" showErrorMessage="1" xr:uid="{0626FD48-0481-4051-9971-6C07356AE2F1}">
          <x14:formula1>
            <xm:f>Settings!$A$7:$D$7</xm:f>
          </x14:formula1>
          <xm:sqref>B5:B201</xm:sqref>
        </x14:dataValidation>
        <x14:dataValidation type="list" allowBlank="1" showInputMessage="1" showErrorMessage="1" xr:uid="{88B42483-FB89-4D32-BF14-DC3951824B9B}">
          <x14:formula1>
            <xm:f>Settings!$A$9:$M$9</xm:f>
          </x14:formula1>
          <xm:sqref>D5:D261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F13E9-DA86-4331-BD9B-0B3E9C9B183C}">
  <dimension ref="A1:H213"/>
  <sheetViews>
    <sheetView topLeftCell="A177" workbookViewId="0">
      <selection activeCell="F211" sqref="F211"/>
    </sheetView>
  </sheetViews>
  <sheetFormatPr defaultRowHeight="15" x14ac:dyDescent="0.25"/>
  <cols>
    <col min="1" max="1" width="27.7109375" customWidth="1"/>
    <col min="2" max="2" width="13.5703125" customWidth="1"/>
    <col min="3" max="3" width="27" customWidth="1"/>
    <col min="4" max="4" width="10.85546875" style="13" customWidth="1"/>
    <col min="5" max="5" width="22.85546875" customWidth="1"/>
    <col min="6" max="6" width="14.42578125" customWidth="1"/>
    <col min="7" max="7" width="10" customWidth="1"/>
    <col min="8" max="8" width="114.28515625" customWidth="1"/>
  </cols>
  <sheetData>
    <row r="1" spans="1:8" ht="24" x14ac:dyDescent="0.25">
      <c r="A1" s="98" t="s">
        <v>153</v>
      </c>
      <c r="B1" s="98"/>
      <c r="C1" s="98"/>
      <c r="D1" s="98"/>
      <c r="E1" s="98"/>
      <c r="F1" s="98"/>
      <c r="G1" s="98"/>
      <c r="H1" s="98"/>
    </row>
    <row r="2" spans="1:8" ht="20.25" thickBot="1" x14ac:dyDescent="0.3">
      <c r="A2" s="147" t="s">
        <v>144</v>
      </c>
      <c r="B2" s="147"/>
      <c r="C2" s="147"/>
      <c r="D2" s="147"/>
      <c r="E2" s="147"/>
      <c r="F2" s="147"/>
      <c r="G2" s="147"/>
      <c r="H2" s="147"/>
    </row>
    <row r="3" spans="1:8" ht="18.75" thickTop="1" thickBot="1" x14ac:dyDescent="0.3">
      <c r="A3" s="100" t="s">
        <v>145</v>
      </c>
      <c r="B3" s="100"/>
      <c r="C3" s="100"/>
      <c r="D3" s="100"/>
      <c r="E3" s="100"/>
      <c r="F3" s="100"/>
      <c r="G3" s="100"/>
      <c r="H3" s="100"/>
    </row>
    <row r="4" spans="1:8" ht="15.75" thickTop="1" x14ac:dyDescent="0.25">
      <c r="A4" s="8" t="s">
        <v>173</v>
      </c>
      <c r="B4" s="10" t="s">
        <v>147</v>
      </c>
      <c r="C4" s="10" t="s">
        <v>148</v>
      </c>
      <c r="D4" s="12" t="s">
        <v>167</v>
      </c>
      <c r="E4" s="8" t="s">
        <v>174</v>
      </c>
      <c r="F4" s="8" t="s">
        <v>175</v>
      </c>
      <c r="G4" s="8" t="s">
        <v>27</v>
      </c>
      <c r="H4" s="8" t="s">
        <v>149</v>
      </c>
    </row>
    <row r="5" spans="1:8" x14ac:dyDescent="0.25">
      <c r="A5" s="70" t="s">
        <v>1116</v>
      </c>
      <c r="B5" s="70" t="s">
        <v>157</v>
      </c>
      <c r="C5" s="70" t="s">
        <v>255</v>
      </c>
      <c r="D5" s="71" t="s">
        <v>6</v>
      </c>
      <c r="E5" s="70" t="s">
        <v>249</v>
      </c>
      <c r="F5" s="70" t="s">
        <v>199</v>
      </c>
      <c r="G5" s="70" t="s">
        <v>164</v>
      </c>
      <c r="H5" s="70" t="s">
        <v>1073</v>
      </c>
    </row>
    <row r="6" spans="1:8" x14ac:dyDescent="0.25">
      <c r="A6" s="70" t="s">
        <v>1117</v>
      </c>
      <c r="B6" s="70" t="s">
        <v>157</v>
      </c>
      <c r="C6" s="70" t="s">
        <v>256</v>
      </c>
      <c r="D6" s="71" t="s">
        <v>198</v>
      </c>
      <c r="E6" s="70" t="s">
        <v>1044</v>
      </c>
      <c r="F6" s="70" t="s">
        <v>200</v>
      </c>
      <c r="G6" s="70" t="s">
        <v>164</v>
      </c>
      <c r="H6" s="70"/>
    </row>
    <row r="7" spans="1:8" x14ac:dyDescent="0.25">
      <c r="A7" s="70" t="s">
        <v>1118</v>
      </c>
      <c r="B7" s="70" t="s">
        <v>157</v>
      </c>
      <c r="C7" s="70" t="s">
        <v>282</v>
      </c>
      <c r="D7" s="71" t="s">
        <v>233</v>
      </c>
      <c r="E7" s="70" t="s">
        <v>1038</v>
      </c>
      <c r="F7" s="70" t="s">
        <v>1039</v>
      </c>
      <c r="G7" s="70" t="s">
        <v>164</v>
      </c>
      <c r="H7" s="70" t="s">
        <v>283</v>
      </c>
    </row>
    <row r="8" spans="1:8" x14ac:dyDescent="0.25">
      <c r="A8" s="70" t="s">
        <v>1119</v>
      </c>
      <c r="B8" s="70" t="s">
        <v>157</v>
      </c>
      <c r="C8" s="70" t="s">
        <v>257</v>
      </c>
      <c r="D8" s="71" t="s">
        <v>233</v>
      </c>
      <c r="E8" s="70" t="s">
        <v>1043</v>
      </c>
      <c r="F8" s="70" t="s">
        <v>200</v>
      </c>
      <c r="G8" s="70" t="s">
        <v>164</v>
      </c>
      <c r="H8" s="70"/>
    </row>
    <row r="9" spans="1:8" x14ac:dyDescent="0.25">
      <c r="A9" s="70" t="s">
        <v>1120</v>
      </c>
      <c r="B9" s="70" t="s">
        <v>157</v>
      </c>
      <c r="C9" s="70" t="s">
        <v>1074</v>
      </c>
      <c r="D9" s="71" t="s">
        <v>233</v>
      </c>
      <c r="E9" s="70" t="s">
        <v>1043</v>
      </c>
      <c r="F9" s="70" t="s">
        <v>200</v>
      </c>
      <c r="G9" s="70" t="s">
        <v>164</v>
      </c>
      <c r="H9" s="70"/>
    </row>
    <row r="10" spans="1:8" x14ac:dyDescent="0.25">
      <c r="A10" s="70" t="s">
        <v>1209</v>
      </c>
      <c r="B10" s="70" t="s">
        <v>157</v>
      </c>
      <c r="C10" s="70" t="s">
        <v>258</v>
      </c>
      <c r="D10" s="71" t="s">
        <v>233</v>
      </c>
      <c r="E10" s="70" t="s">
        <v>1043</v>
      </c>
      <c r="F10" s="70" t="s">
        <v>191</v>
      </c>
      <c r="G10" s="70" t="s">
        <v>164</v>
      </c>
      <c r="H10" s="70"/>
    </row>
    <row r="11" spans="1:8" x14ac:dyDescent="0.25">
      <c r="A11" s="70" t="s">
        <v>1121</v>
      </c>
      <c r="B11" s="70" t="s">
        <v>157</v>
      </c>
      <c r="C11" s="70" t="s">
        <v>267</v>
      </c>
      <c r="D11" s="71" t="s">
        <v>233</v>
      </c>
      <c r="E11" s="70" t="s">
        <v>1043</v>
      </c>
      <c r="F11" s="70" t="s">
        <v>218</v>
      </c>
      <c r="G11" s="70" t="s">
        <v>164</v>
      </c>
      <c r="H11" s="70"/>
    </row>
    <row r="12" spans="1:8" x14ac:dyDescent="0.25">
      <c r="A12" s="70" t="s">
        <v>1122</v>
      </c>
      <c r="B12" s="70" t="s">
        <v>157</v>
      </c>
      <c r="C12" s="70" t="s">
        <v>1075</v>
      </c>
      <c r="D12" s="71" t="s">
        <v>233</v>
      </c>
      <c r="E12" s="70" t="s">
        <v>1043</v>
      </c>
      <c r="F12" s="70" t="s">
        <v>218</v>
      </c>
      <c r="G12" s="70" t="s">
        <v>164</v>
      </c>
      <c r="H12" s="70"/>
    </row>
    <row r="13" spans="1:8" x14ac:dyDescent="0.25">
      <c r="A13" s="70" t="s">
        <v>1123</v>
      </c>
      <c r="B13" s="70" t="s">
        <v>157</v>
      </c>
      <c r="C13" s="70" t="s">
        <v>268</v>
      </c>
      <c r="D13" s="71" t="s">
        <v>233</v>
      </c>
      <c r="E13" s="70" t="s">
        <v>1043</v>
      </c>
      <c r="F13" s="70" t="s">
        <v>191</v>
      </c>
      <c r="G13" s="70" t="s">
        <v>164</v>
      </c>
      <c r="H13" s="70"/>
    </row>
    <row r="14" spans="1:8" x14ac:dyDescent="0.25">
      <c r="A14" s="70" t="s">
        <v>1124</v>
      </c>
      <c r="B14" s="70" t="s">
        <v>157</v>
      </c>
      <c r="C14" s="70" t="s">
        <v>259</v>
      </c>
      <c r="D14" s="71" t="s">
        <v>234</v>
      </c>
      <c r="E14" s="70" t="s">
        <v>1043</v>
      </c>
      <c r="F14" s="70" t="s">
        <v>191</v>
      </c>
      <c r="G14" s="70" t="s">
        <v>164</v>
      </c>
      <c r="H14" s="70" t="s">
        <v>2743</v>
      </c>
    </row>
    <row r="15" spans="1:8" x14ac:dyDescent="0.25">
      <c r="A15" s="70" t="s">
        <v>1125</v>
      </c>
      <c r="B15" s="70" t="s">
        <v>157</v>
      </c>
      <c r="C15" s="70" t="s">
        <v>260</v>
      </c>
      <c r="D15" s="71" t="s">
        <v>234</v>
      </c>
      <c r="E15" s="70" t="s">
        <v>1076</v>
      </c>
      <c r="F15" s="70" t="s">
        <v>191</v>
      </c>
      <c r="G15" s="70" t="s">
        <v>164</v>
      </c>
      <c r="H15" s="70"/>
    </row>
    <row r="16" spans="1:8" x14ac:dyDescent="0.25">
      <c r="A16" s="70" t="s">
        <v>1126</v>
      </c>
      <c r="B16" s="70" t="s">
        <v>157</v>
      </c>
      <c r="C16" s="70" t="s">
        <v>269</v>
      </c>
      <c r="D16" s="71" t="s">
        <v>234</v>
      </c>
      <c r="E16" s="70" t="s">
        <v>1077</v>
      </c>
      <c r="F16" s="70" t="s">
        <v>191</v>
      </c>
      <c r="G16" s="70" t="s">
        <v>164</v>
      </c>
      <c r="H16" s="70"/>
    </row>
    <row r="17" spans="1:8" x14ac:dyDescent="0.25">
      <c r="A17" s="70" t="s">
        <v>1127</v>
      </c>
      <c r="B17" s="70" t="s">
        <v>157</v>
      </c>
      <c r="C17" s="70" t="s">
        <v>270</v>
      </c>
      <c r="D17" s="71" t="s">
        <v>234</v>
      </c>
      <c r="E17" s="70" t="s">
        <v>1077</v>
      </c>
      <c r="F17" s="70" t="s">
        <v>191</v>
      </c>
      <c r="G17" s="70" t="s">
        <v>164</v>
      </c>
      <c r="H17" s="70"/>
    </row>
    <row r="18" spans="1:8" x14ac:dyDescent="0.25">
      <c r="A18" s="70" t="s">
        <v>1128</v>
      </c>
      <c r="B18" s="70" t="s">
        <v>157</v>
      </c>
      <c r="C18" s="70" t="s">
        <v>261</v>
      </c>
      <c r="D18" s="71" t="s">
        <v>234</v>
      </c>
      <c r="E18" s="70" t="s">
        <v>1077</v>
      </c>
      <c r="F18" s="70" t="s">
        <v>191</v>
      </c>
      <c r="G18" s="70" t="s">
        <v>164</v>
      </c>
      <c r="H18" s="70"/>
    </row>
    <row r="19" spans="1:8" x14ac:dyDescent="0.25">
      <c r="A19" s="70" t="s">
        <v>1129</v>
      </c>
      <c r="B19" s="70" t="s">
        <v>157</v>
      </c>
      <c r="C19" s="70" t="s">
        <v>1059</v>
      </c>
      <c r="D19" s="71" t="s">
        <v>234</v>
      </c>
      <c r="E19" s="70" t="s">
        <v>1077</v>
      </c>
      <c r="F19" s="70" t="s">
        <v>191</v>
      </c>
      <c r="G19" s="70" t="s">
        <v>164</v>
      </c>
      <c r="H19" s="70"/>
    </row>
    <row r="20" spans="1:8" x14ac:dyDescent="0.25">
      <c r="A20" s="70" t="s">
        <v>1130</v>
      </c>
      <c r="B20" s="70" t="s">
        <v>157</v>
      </c>
      <c r="C20" s="70" t="s">
        <v>1060</v>
      </c>
      <c r="D20" s="71" t="s">
        <v>234</v>
      </c>
      <c r="E20" s="70" t="s">
        <v>1077</v>
      </c>
      <c r="F20" s="70" t="s">
        <v>191</v>
      </c>
      <c r="G20" s="70" t="s">
        <v>164</v>
      </c>
      <c r="H20" s="70"/>
    </row>
    <row r="21" spans="1:8" x14ac:dyDescent="0.25">
      <c r="A21" s="70" t="s">
        <v>1131</v>
      </c>
      <c r="B21" s="70" t="s">
        <v>157</v>
      </c>
      <c r="C21" s="70" t="s">
        <v>1101</v>
      </c>
      <c r="D21" s="71" t="s">
        <v>281</v>
      </c>
      <c r="E21" s="70" t="s">
        <v>242</v>
      </c>
      <c r="F21" s="70" t="s">
        <v>191</v>
      </c>
      <c r="G21" s="70" t="s">
        <v>164</v>
      </c>
      <c r="H21" s="70"/>
    </row>
    <row r="22" spans="1:8" x14ac:dyDescent="0.25">
      <c r="A22" s="70" t="s">
        <v>1132</v>
      </c>
      <c r="B22" s="70" t="s">
        <v>157</v>
      </c>
      <c r="C22" s="70" t="s">
        <v>1100</v>
      </c>
      <c r="D22" s="71" t="s">
        <v>281</v>
      </c>
      <c r="E22" s="70" t="s">
        <v>242</v>
      </c>
      <c r="F22" s="70" t="s">
        <v>191</v>
      </c>
      <c r="G22" s="70" t="s">
        <v>164</v>
      </c>
      <c r="H22" s="70"/>
    </row>
    <row r="23" spans="1:8" x14ac:dyDescent="0.25">
      <c r="A23" s="70" t="s">
        <v>1133</v>
      </c>
      <c r="B23" s="70" t="s">
        <v>157</v>
      </c>
      <c r="C23" s="70" t="s">
        <v>276</v>
      </c>
      <c r="D23" s="71" t="s">
        <v>6</v>
      </c>
      <c r="E23" s="70" t="s">
        <v>1078</v>
      </c>
      <c r="F23" s="70" t="s">
        <v>199</v>
      </c>
      <c r="G23" s="70" t="s">
        <v>164</v>
      </c>
      <c r="H23" s="70" t="s">
        <v>1073</v>
      </c>
    </row>
    <row r="24" spans="1:8" x14ac:dyDescent="0.25">
      <c r="A24" s="72" t="s">
        <v>1134</v>
      </c>
      <c r="B24" s="72" t="s">
        <v>157</v>
      </c>
      <c r="C24" s="72" t="s">
        <v>274</v>
      </c>
      <c r="D24" s="73" t="s">
        <v>198</v>
      </c>
      <c r="E24" s="72" t="s">
        <v>1044</v>
      </c>
      <c r="F24" s="72" t="s">
        <v>201</v>
      </c>
      <c r="G24" s="72" t="s">
        <v>161</v>
      </c>
      <c r="H24" s="72"/>
    </row>
    <row r="25" spans="1:8" x14ac:dyDescent="0.25">
      <c r="A25" s="70" t="s">
        <v>1135</v>
      </c>
      <c r="B25" s="70" t="s">
        <v>157</v>
      </c>
      <c r="C25" s="70" t="s">
        <v>1035</v>
      </c>
      <c r="D25" s="71" t="s">
        <v>233</v>
      </c>
      <c r="E25" s="70" t="s">
        <v>1038</v>
      </c>
      <c r="F25" s="70" t="s">
        <v>1039</v>
      </c>
      <c r="G25" s="70" t="s">
        <v>164</v>
      </c>
      <c r="H25" s="70" t="s">
        <v>283</v>
      </c>
    </row>
    <row r="26" spans="1:8" x14ac:dyDescent="0.25">
      <c r="A26" s="70" t="s">
        <v>1136</v>
      </c>
      <c r="B26" s="70" t="s">
        <v>157</v>
      </c>
      <c r="C26" s="70" t="s">
        <v>262</v>
      </c>
      <c r="D26" s="71" t="s">
        <v>233</v>
      </c>
      <c r="E26" s="70" t="s">
        <v>1043</v>
      </c>
      <c r="F26" s="70" t="s">
        <v>200</v>
      </c>
      <c r="G26" s="70" t="s">
        <v>164</v>
      </c>
      <c r="H26" s="70"/>
    </row>
    <row r="27" spans="1:8" x14ac:dyDescent="0.25">
      <c r="A27" s="70" t="s">
        <v>1137</v>
      </c>
      <c r="B27" s="70" t="s">
        <v>157</v>
      </c>
      <c r="C27" s="70" t="s">
        <v>1079</v>
      </c>
      <c r="D27" s="71" t="s">
        <v>233</v>
      </c>
      <c r="E27" s="70" t="s">
        <v>1043</v>
      </c>
      <c r="F27" s="70" t="s">
        <v>200</v>
      </c>
      <c r="G27" s="70" t="s">
        <v>164</v>
      </c>
      <c r="H27" s="70"/>
    </row>
    <row r="28" spans="1:8" x14ac:dyDescent="0.25">
      <c r="A28" s="70" t="s">
        <v>1138</v>
      </c>
      <c r="B28" s="70" t="s">
        <v>157</v>
      </c>
      <c r="C28" s="70" t="s">
        <v>263</v>
      </c>
      <c r="D28" s="71" t="s">
        <v>233</v>
      </c>
      <c r="E28" s="70" t="s">
        <v>1043</v>
      </c>
      <c r="F28" s="70" t="s">
        <v>191</v>
      </c>
      <c r="G28" s="70" t="s">
        <v>164</v>
      </c>
      <c r="H28" s="70"/>
    </row>
    <row r="29" spans="1:8" x14ac:dyDescent="0.25">
      <c r="A29" s="70" t="s">
        <v>1139</v>
      </c>
      <c r="B29" s="70" t="s">
        <v>157</v>
      </c>
      <c r="C29" s="70" t="s">
        <v>826</v>
      </c>
      <c r="D29" s="71" t="s">
        <v>233</v>
      </c>
      <c r="E29" s="70" t="s">
        <v>1043</v>
      </c>
      <c r="F29" s="70" t="s">
        <v>218</v>
      </c>
      <c r="G29" s="70" t="s">
        <v>164</v>
      </c>
      <c r="H29" s="70"/>
    </row>
    <row r="30" spans="1:8" x14ac:dyDescent="0.25">
      <c r="A30" s="70" t="s">
        <v>1140</v>
      </c>
      <c r="B30" s="70" t="s">
        <v>157</v>
      </c>
      <c r="C30" s="70" t="s">
        <v>1080</v>
      </c>
      <c r="D30" s="71" t="s">
        <v>233</v>
      </c>
      <c r="E30" s="70" t="s">
        <v>1043</v>
      </c>
      <c r="F30" s="70" t="s">
        <v>218</v>
      </c>
      <c r="G30" s="70" t="s">
        <v>164</v>
      </c>
      <c r="H30" s="70"/>
    </row>
    <row r="31" spans="1:8" x14ac:dyDescent="0.25">
      <c r="A31" s="70" t="s">
        <v>1141</v>
      </c>
      <c r="B31" s="70" t="s">
        <v>157</v>
      </c>
      <c r="C31" s="70" t="s">
        <v>271</v>
      </c>
      <c r="D31" s="71" t="s">
        <v>233</v>
      </c>
      <c r="E31" s="70" t="s">
        <v>1043</v>
      </c>
      <c r="F31" s="70" t="s">
        <v>191</v>
      </c>
      <c r="G31" s="70" t="s">
        <v>164</v>
      </c>
      <c r="H31" s="70"/>
    </row>
    <row r="32" spans="1:8" x14ac:dyDescent="0.25">
      <c r="A32" s="70" t="s">
        <v>1142</v>
      </c>
      <c r="B32" s="70" t="s">
        <v>157</v>
      </c>
      <c r="C32" s="70" t="s">
        <v>264</v>
      </c>
      <c r="D32" s="71" t="s">
        <v>234</v>
      </c>
      <c r="E32" s="70" t="s">
        <v>1043</v>
      </c>
      <c r="F32" s="70" t="s">
        <v>191</v>
      </c>
      <c r="G32" s="70" t="s">
        <v>164</v>
      </c>
      <c r="H32" s="70" t="s">
        <v>2743</v>
      </c>
    </row>
    <row r="33" spans="1:8" x14ac:dyDescent="0.25">
      <c r="A33" s="70" t="s">
        <v>1143</v>
      </c>
      <c r="B33" s="70" t="s">
        <v>157</v>
      </c>
      <c r="C33" s="70" t="s">
        <v>265</v>
      </c>
      <c r="D33" s="71" t="s">
        <v>234</v>
      </c>
      <c r="E33" s="70" t="s">
        <v>1076</v>
      </c>
      <c r="F33" s="70" t="s">
        <v>191</v>
      </c>
      <c r="G33" s="70" t="s">
        <v>164</v>
      </c>
      <c r="H33" s="70"/>
    </row>
    <row r="34" spans="1:8" x14ac:dyDescent="0.25">
      <c r="A34" s="70" t="s">
        <v>1144</v>
      </c>
      <c r="B34" s="70" t="s">
        <v>157</v>
      </c>
      <c r="C34" s="70" t="s">
        <v>272</v>
      </c>
      <c r="D34" s="71" t="s">
        <v>234</v>
      </c>
      <c r="E34" s="70" t="s">
        <v>1077</v>
      </c>
      <c r="F34" s="70" t="s">
        <v>191</v>
      </c>
      <c r="G34" s="70" t="s">
        <v>164</v>
      </c>
      <c r="H34" s="70"/>
    </row>
    <row r="35" spans="1:8" x14ac:dyDescent="0.25">
      <c r="A35" s="70" t="s">
        <v>1145</v>
      </c>
      <c r="B35" s="70" t="s">
        <v>157</v>
      </c>
      <c r="C35" s="70" t="s">
        <v>273</v>
      </c>
      <c r="D35" s="71" t="s">
        <v>234</v>
      </c>
      <c r="E35" s="70" t="s">
        <v>1077</v>
      </c>
      <c r="F35" s="70" t="s">
        <v>191</v>
      </c>
      <c r="G35" s="70" t="s">
        <v>164</v>
      </c>
      <c r="H35" s="70"/>
    </row>
    <row r="36" spans="1:8" x14ac:dyDescent="0.25">
      <c r="A36" s="70" t="s">
        <v>1146</v>
      </c>
      <c r="B36" s="70" t="s">
        <v>157</v>
      </c>
      <c r="C36" s="70" t="s">
        <v>266</v>
      </c>
      <c r="D36" s="71" t="s">
        <v>234</v>
      </c>
      <c r="E36" s="70" t="s">
        <v>1077</v>
      </c>
      <c r="F36" s="70" t="s">
        <v>191</v>
      </c>
      <c r="G36" s="70" t="s">
        <v>164</v>
      </c>
      <c r="H36" s="70"/>
    </row>
    <row r="37" spans="1:8" x14ac:dyDescent="0.25">
      <c r="A37" s="70" t="s">
        <v>1147</v>
      </c>
      <c r="B37" s="70" t="s">
        <v>157</v>
      </c>
      <c r="C37" s="70" t="s">
        <v>1058</v>
      </c>
      <c r="D37" s="71" t="s">
        <v>234</v>
      </c>
      <c r="E37" s="70" t="s">
        <v>1077</v>
      </c>
      <c r="F37" s="70" t="s">
        <v>191</v>
      </c>
      <c r="G37" s="70" t="s">
        <v>164</v>
      </c>
      <c r="H37" s="70"/>
    </row>
    <row r="38" spans="1:8" x14ac:dyDescent="0.25">
      <c r="A38" s="70" t="s">
        <v>1148</v>
      </c>
      <c r="B38" s="70" t="s">
        <v>157</v>
      </c>
      <c r="C38" s="70" t="s">
        <v>1057</v>
      </c>
      <c r="D38" s="71" t="s">
        <v>234</v>
      </c>
      <c r="E38" s="70" t="s">
        <v>1077</v>
      </c>
      <c r="F38" s="70" t="s">
        <v>191</v>
      </c>
      <c r="G38" s="70" t="s">
        <v>164</v>
      </c>
      <c r="H38" s="70"/>
    </row>
    <row r="39" spans="1:8" x14ac:dyDescent="0.25">
      <c r="A39" s="70" t="s">
        <v>1149</v>
      </c>
      <c r="B39" s="70" t="s">
        <v>157</v>
      </c>
      <c r="C39" s="70" t="s">
        <v>1098</v>
      </c>
      <c r="D39" s="71" t="s">
        <v>281</v>
      </c>
      <c r="E39" s="70" t="s">
        <v>242</v>
      </c>
      <c r="F39" s="70" t="s">
        <v>191</v>
      </c>
      <c r="G39" s="70" t="s">
        <v>164</v>
      </c>
      <c r="H39" s="70"/>
    </row>
    <row r="40" spans="1:8" x14ac:dyDescent="0.25">
      <c r="A40" s="70" t="s">
        <v>1150</v>
      </c>
      <c r="B40" s="70" t="s">
        <v>157</v>
      </c>
      <c r="C40" s="70" t="s">
        <v>1099</v>
      </c>
      <c r="D40" s="71" t="s">
        <v>281</v>
      </c>
      <c r="E40" s="70" t="s">
        <v>242</v>
      </c>
      <c r="F40" s="70" t="s">
        <v>191</v>
      </c>
      <c r="G40" s="70" t="s">
        <v>164</v>
      </c>
      <c r="H40" s="70"/>
    </row>
    <row r="41" spans="1:8" x14ac:dyDescent="0.25">
      <c r="A41" s="70" t="s">
        <v>1151</v>
      </c>
      <c r="B41" s="70" t="s">
        <v>157</v>
      </c>
      <c r="C41" s="70" t="s">
        <v>275</v>
      </c>
      <c r="D41" s="71" t="s">
        <v>198</v>
      </c>
      <c r="E41" s="70" t="s">
        <v>1044</v>
      </c>
      <c r="F41" s="70" t="s">
        <v>200</v>
      </c>
      <c r="G41" s="70" t="s">
        <v>164</v>
      </c>
      <c r="H41" s="70"/>
    </row>
    <row r="42" spans="1:8" x14ac:dyDescent="0.25">
      <c r="A42" s="70" t="s">
        <v>1152</v>
      </c>
      <c r="B42" s="70" t="s">
        <v>157</v>
      </c>
      <c r="C42" s="70" t="s">
        <v>1036</v>
      </c>
      <c r="D42" s="71" t="s">
        <v>233</v>
      </c>
      <c r="E42" s="70" t="s">
        <v>1038</v>
      </c>
      <c r="F42" s="70" t="s">
        <v>1039</v>
      </c>
      <c r="G42" s="70" t="s">
        <v>164</v>
      </c>
      <c r="H42" s="70" t="s">
        <v>283</v>
      </c>
    </row>
    <row r="43" spans="1:8" x14ac:dyDescent="0.25">
      <c r="A43" s="70" t="s">
        <v>1153</v>
      </c>
      <c r="B43" s="70" t="s">
        <v>157</v>
      </c>
      <c r="C43" s="70" t="s">
        <v>277</v>
      </c>
      <c r="D43" s="71" t="s">
        <v>6</v>
      </c>
      <c r="E43" s="70" t="s">
        <v>1040</v>
      </c>
      <c r="F43" s="70" t="s">
        <v>199</v>
      </c>
      <c r="G43" s="70" t="s">
        <v>164</v>
      </c>
      <c r="H43" s="70" t="s">
        <v>1073</v>
      </c>
    </row>
    <row r="44" spans="1:8" x14ac:dyDescent="0.25">
      <c r="A44" s="70" t="s">
        <v>1154</v>
      </c>
      <c r="B44" s="70" t="s">
        <v>157</v>
      </c>
      <c r="C44" s="70" t="s">
        <v>1046</v>
      </c>
      <c r="D44" s="71" t="s">
        <v>233</v>
      </c>
      <c r="E44" s="70" t="s">
        <v>1043</v>
      </c>
      <c r="F44" s="70" t="s">
        <v>200</v>
      </c>
      <c r="G44" s="70" t="s">
        <v>164</v>
      </c>
      <c r="H44" s="70"/>
    </row>
    <row r="45" spans="1:8" x14ac:dyDescent="0.25">
      <c r="A45" s="70" t="s">
        <v>1155</v>
      </c>
      <c r="B45" s="70" t="s">
        <v>157</v>
      </c>
      <c r="C45" s="70" t="s">
        <v>1081</v>
      </c>
      <c r="D45" s="71" t="s">
        <v>233</v>
      </c>
      <c r="E45" s="70" t="s">
        <v>1043</v>
      </c>
      <c r="F45" s="70" t="s">
        <v>200</v>
      </c>
      <c r="G45" s="70" t="s">
        <v>164</v>
      </c>
      <c r="H45" s="70"/>
    </row>
    <row r="46" spans="1:8" x14ac:dyDescent="0.25">
      <c r="A46" s="70" t="s">
        <v>1156</v>
      </c>
      <c r="B46" s="70" t="s">
        <v>157</v>
      </c>
      <c r="C46" s="70" t="s">
        <v>1047</v>
      </c>
      <c r="D46" s="71" t="s">
        <v>233</v>
      </c>
      <c r="E46" s="70" t="s">
        <v>1043</v>
      </c>
      <c r="F46" s="70" t="s">
        <v>191</v>
      </c>
      <c r="G46" s="70" t="s">
        <v>164</v>
      </c>
      <c r="H46" s="70"/>
    </row>
    <row r="47" spans="1:8" x14ac:dyDescent="0.25">
      <c r="A47" s="70" t="s">
        <v>1157</v>
      </c>
      <c r="B47" s="70" t="s">
        <v>157</v>
      </c>
      <c r="C47" s="70" t="s">
        <v>1051</v>
      </c>
      <c r="D47" s="71" t="s">
        <v>233</v>
      </c>
      <c r="E47" s="70" t="s">
        <v>1043</v>
      </c>
      <c r="F47" s="70" t="s">
        <v>218</v>
      </c>
      <c r="G47" s="70" t="s">
        <v>164</v>
      </c>
      <c r="H47" s="70"/>
    </row>
    <row r="48" spans="1:8" x14ac:dyDescent="0.25">
      <c r="A48" s="70" t="s">
        <v>1158</v>
      </c>
      <c r="B48" s="70" t="s">
        <v>157</v>
      </c>
      <c r="C48" s="70" t="s">
        <v>1082</v>
      </c>
      <c r="D48" s="71" t="s">
        <v>233</v>
      </c>
      <c r="E48" s="70" t="s">
        <v>1043</v>
      </c>
      <c r="F48" s="70" t="s">
        <v>218</v>
      </c>
      <c r="G48" s="70" t="s">
        <v>164</v>
      </c>
      <c r="H48" s="70"/>
    </row>
    <row r="49" spans="1:8" x14ac:dyDescent="0.25">
      <c r="A49" s="70" t="s">
        <v>1159</v>
      </c>
      <c r="B49" s="70" t="s">
        <v>157</v>
      </c>
      <c r="C49" s="70" t="s">
        <v>1052</v>
      </c>
      <c r="D49" s="71" t="s">
        <v>233</v>
      </c>
      <c r="E49" s="70" t="s">
        <v>1043</v>
      </c>
      <c r="F49" s="70" t="s">
        <v>191</v>
      </c>
      <c r="G49" s="70" t="s">
        <v>164</v>
      </c>
      <c r="H49" s="70"/>
    </row>
    <row r="50" spans="1:8" x14ac:dyDescent="0.25">
      <c r="A50" s="70" t="s">
        <v>1160</v>
      </c>
      <c r="B50" s="70" t="s">
        <v>157</v>
      </c>
      <c r="C50" s="70" t="s">
        <v>1048</v>
      </c>
      <c r="D50" s="71" t="s">
        <v>234</v>
      </c>
      <c r="E50" s="70" t="s">
        <v>1043</v>
      </c>
      <c r="F50" s="70" t="s">
        <v>191</v>
      </c>
      <c r="G50" s="70" t="s">
        <v>164</v>
      </c>
      <c r="H50" s="70" t="s">
        <v>2743</v>
      </c>
    </row>
    <row r="51" spans="1:8" x14ac:dyDescent="0.25">
      <c r="A51" s="70" t="s">
        <v>1161</v>
      </c>
      <c r="B51" s="70" t="s">
        <v>157</v>
      </c>
      <c r="C51" s="70" t="s">
        <v>1049</v>
      </c>
      <c r="D51" s="71" t="s">
        <v>234</v>
      </c>
      <c r="E51" s="70" t="s">
        <v>1076</v>
      </c>
      <c r="F51" s="70" t="s">
        <v>191</v>
      </c>
      <c r="G51" s="70" t="s">
        <v>164</v>
      </c>
      <c r="H51" s="70"/>
    </row>
    <row r="52" spans="1:8" x14ac:dyDescent="0.25">
      <c r="A52" s="70" t="s">
        <v>1162</v>
      </c>
      <c r="B52" s="70" t="s">
        <v>157</v>
      </c>
      <c r="C52" s="70" t="s">
        <v>1053</v>
      </c>
      <c r="D52" s="71" t="s">
        <v>234</v>
      </c>
      <c r="E52" s="70" t="s">
        <v>1077</v>
      </c>
      <c r="F52" s="70" t="s">
        <v>191</v>
      </c>
      <c r="G52" s="70" t="s">
        <v>164</v>
      </c>
      <c r="H52" s="70"/>
    </row>
    <row r="53" spans="1:8" x14ac:dyDescent="0.25">
      <c r="A53" s="70" t="s">
        <v>1163</v>
      </c>
      <c r="B53" s="70" t="s">
        <v>157</v>
      </c>
      <c r="C53" s="70" t="s">
        <v>1054</v>
      </c>
      <c r="D53" s="71" t="s">
        <v>234</v>
      </c>
      <c r="E53" s="70" t="s">
        <v>1077</v>
      </c>
      <c r="F53" s="70" t="s">
        <v>191</v>
      </c>
      <c r="G53" s="70" t="s">
        <v>164</v>
      </c>
      <c r="H53" s="70"/>
    </row>
    <row r="54" spans="1:8" x14ac:dyDescent="0.25">
      <c r="A54" s="70" t="s">
        <v>1164</v>
      </c>
      <c r="B54" s="70" t="s">
        <v>157</v>
      </c>
      <c r="C54" s="70" t="s">
        <v>1050</v>
      </c>
      <c r="D54" s="71" t="s">
        <v>234</v>
      </c>
      <c r="E54" s="70" t="s">
        <v>1077</v>
      </c>
      <c r="F54" s="70" t="s">
        <v>191</v>
      </c>
      <c r="G54" s="70" t="s">
        <v>164</v>
      </c>
      <c r="H54" s="70"/>
    </row>
    <row r="55" spans="1:8" x14ac:dyDescent="0.25">
      <c r="A55" s="70" t="s">
        <v>1165</v>
      </c>
      <c r="B55" s="70" t="s">
        <v>157</v>
      </c>
      <c r="C55" s="70" t="s">
        <v>1055</v>
      </c>
      <c r="D55" s="71" t="s">
        <v>234</v>
      </c>
      <c r="E55" s="70" t="s">
        <v>1077</v>
      </c>
      <c r="F55" s="70" t="s">
        <v>191</v>
      </c>
      <c r="G55" s="70" t="s">
        <v>164</v>
      </c>
      <c r="H55" s="70"/>
    </row>
    <row r="56" spans="1:8" x14ac:dyDescent="0.25">
      <c r="A56" s="70" t="s">
        <v>1166</v>
      </c>
      <c r="B56" s="70" t="s">
        <v>157</v>
      </c>
      <c r="C56" s="70" t="s">
        <v>1056</v>
      </c>
      <c r="D56" s="71" t="s">
        <v>234</v>
      </c>
      <c r="E56" s="70" t="s">
        <v>1077</v>
      </c>
      <c r="F56" s="70" t="s">
        <v>191</v>
      </c>
      <c r="G56" s="70" t="s">
        <v>164</v>
      </c>
      <c r="H56" s="70"/>
    </row>
    <row r="57" spans="1:8" x14ac:dyDescent="0.25">
      <c r="A57" s="70" t="s">
        <v>1167</v>
      </c>
      <c r="B57" s="70" t="s">
        <v>157</v>
      </c>
      <c r="C57" s="70" t="s">
        <v>1096</v>
      </c>
      <c r="D57" s="71" t="s">
        <v>281</v>
      </c>
      <c r="E57" s="70" t="s">
        <v>242</v>
      </c>
      <c r="F57" s="70" t="s">
        <v>191</v>
      </c>
      <c r="G57" s="70" t="s">
        <v>164</v>
      </c>
      <c r="H57" s="70"/>
    </row>
    <row r="58" spans="1:8" x14ac:dyDescent="0.25">
      <c r="A58" s="70" t="s">
        <v>1168</v>
      </c>
      <c r="B58" s="70" t="s">
        <v>157</v>
      </c>
      <c r="C58" s="70" t="s">
        <v>1097</v>
      </c>
      <c r="D58" s="71" t="s">
        <v>281</v>
      </c>
      <c r="E58" s="70" t="s">
        <v>242</v>
      </c>
      <c r="F58" s="70" t="s">
        <v>191</v>
      </c>
      <c r="G58" s="70" t="s">
        <v>164</v>
      </c>
      <c r="H58" s="70"/>
    </row>
    <row r="59" spans="1:8" x14ac:dyDescent="0.25">
      <c r="A59" s="70" t="s">
        <v>1169</v>
      </c>
      <c r="B59" s="70" t="s">
        <v>157</v>
      </c>
      <c r="C59" s="70" t="s">
        <v>1037</v>
      </c>
      <c r="D59" s="71" t="s">
        <v>233</v>
      </c>
      <c r="E59" s="70" t="s">
        <v>1038</v>
      </c>
      <c r="F59" s="70" t="s">
        <v>1039</v>
      </c>
      <c r="G59" s="70" t="s">
        <v>164</v>
      </c>
      <c r="H59" s="70" t="s">
        <v>283</v>
      </c>
    </row>
    <row r="60" spans="1:8" x14ac:dyDescent="0.25">
      <c r="A60" s="70" t="s">
        <v>1170</v>
      </c>
      <c r="B60" s="70" t="s">
        <v>157</v>
      </c>
      <c r="C60" s="70" t="s">
        <v>1045</v>
      </c>
      <c r="D60" s="71" t="s">
        <v>198</v>
      </c>
      <c r="E60" s="70" t="s">
        <v>1044</v>
      </c>
      <c r="F60" s="70" t="s">
        <v>200</v>
      </c>
      <c r="G60" s="70" t="s">
        <v>164</v>
      </c>
      <c r="H60" s="70"/>
    </row>
    <row r="61" spans="1:8" x14ac:dyDescent="0.25">
      <c r="A61" s="70" t="s">
        <v>1171</v>
      </c>
      <c r="B61" s="70" t="s">
        <v>157</v>
      </c>
      <c r="C61" s="70" t="s">
        <v>1041</v>
      </c>
      <c r="D61" s="71" t="s">
        <v>6</v>
      </c>
      <c r="E61" s="70" t="s">
        <v>1042</v>
      </c>
      <c r="F61" s="70" t="s">
        <v>199</v>
      </c>
      <c r="G61" s="70" t="s">
        <v>164</v>
      </c>
      <c r="H61" s="70" t="s">
        <v>1073</v>
      </c>
    </row>
    <row r="62" spans="1:8" x14ac:dyDescent="0.25">
      <c r="A62" s="70" t="s">
        <v>1172</v>
      </c>
      <c r="B62" s="70" t="s">
        <v>157</v>
      </c>
      <c r="C62" s="70" t="s">
        <v>1061</v>
      </c>
      <c r="D62" s="71" t="s">
        <v>233</v>
      </c>
      <c r="E62" s="70" t="s">
        <v>1043</v>
      </c>
      <c r="F62" s="70" t="s">
        <v>200</v>
      </c>
      <c r="G62" s="70" t="s">
        <v>164</v>
      </c>
      <c r="H62" s="70"/>
    </row>
    <row r="63" spans="1:8" x14ac:dyDescent="0.25">
      <c r="A63" s="70" t="s">
        <v>1173</v>
      </c>
      <c r="B63" s="70" t="s">
        <v>157</v>
      </c>
      <c r="C63" s="70" t="s">
        <v>1083</v>
      </c>
      <c r="D63" s="71" t="s">
        <v>233</v>
      </c>
      <c r="E63" s="70" t="s">
        <v>1043</v>
      </c>
      <c r="F63" s="70" t="s">
        <v>200</v>
      </c>
      <c r="G63" s="70" t="s">
        <v>164</v>
      </c>
      <c r="H63" s="70"/>
    </row>
    <row r="64" spans="1:8" x14ac:dyDescent="0.25">
      <c r="A64" s="70" t="s">
        <v>1174</v>
      </c>
      <c r="B64" s="70" t="s">
        <v>157</v>
      </c>
      <c r="C64" s="70" t="s">
        <v>1062</v>
      </c>
      <c r="D64" s="71" t="s">
        <v>233</v>
      </c>
      <c r="E64" s="70" t="s">
        <v>1043</v>
      </c>
      <c r="F64" s="70" t="s">
        <v>191</v>
      </c>
      <c r="G64" s="70" t="s">
        <v>164</v>
      </c>
      <c r="H64" s="70"/>
    </row>
    <row r="65" spans="1:8" x14ac:dyDescent="0.25">
      <c r="A65" s="70" t="s">
        <v>1175</v>
      </c>
      <c r="B65" s="70" t="s">
        <v>157</v>
      </c>
      <c r="C65" s="70" t="s">
        <v>1068</v>
      </c>
      <c r="D65" s="71" t="s">
        <v>233</v>
      </c>
      <c r="E65" s="70" t="s">
        <v>1043</v>
      </c>
      <c r="F65" s="70" t="s">
        <v>218</v>
      </c>
      <c r="G65" s="70" t="s">
        <v>164</v>
      </c>
      <c r="H65" s="70"/>
    </row>
    <row r="66" spans="1:8" x14ac:dyDescent="0.25">
      <c r="A66" s="70" t="s">
        <v>1176</v>
      </c>
      <c r="B66" s="70" t="s">
        <v>157</v>
      </c>
      <c r="C66" s="70" t="s">
        <v>1088</v>
      </c>
      <c r="D66" s="71" t="s">
        <v>233</v>
      </c>
      <c r="E66" s="70" t="s">
        <v>1043</v>
      </c>
      <c r="F66" s="70" t="s">
        <v>218</v>
      </c>
      <c r="G66" s="70" t="s">
        <v>164</v>
      </c>
      <c r="H66" s="70"/>
    </row>
    <row r="67" spans="1:8" x14ac:dyDescent="0.25">
      <c r="A67" s="70" t="s">
        <v>1177</v>
      </c>
      <c r="B67" s="70" t="s">
        <v>157</v>
      </c>
      <c r="C67" s="70" t="s">
        <v>1069</v>
      </c>
      <c r="D67" s="71" t="s">
        <v>233</v>
      </c>
      <c r="E67" s="70" t="s">
        <v>1043</v>
      </c>
      <c r="F67" s="70" t="s">
        <v>191</v>
      </c>
      <c r="G67" s="70" t="s">
        <v>164</v>
      </c>
      <c r="H67" s="70"/>
    </row>
    <row r="68" spans="1:8" x14ac:dyDescent="0.25">
      <c r="A68" s="70" t="s">
        <v>1178</v>
      </c>
      <c r="B68" s="70" t="s">
        <v>157</v>
      </c>
      <c r="C68" s="70" t="s">
        <v>1063</v>
      </c>
      <c r="D68" s="71" t="s">
        <v>234</v>
      </c>
      <c r="E68" s="70" t="s">
        <v>1043</v>
      </c>
      <c r="F68" s="70" t="s">
        <v>191</v>
      </c>
      <c r="G68" s="70" t="s">
        <v>164</v>
      </c>
      <c r="H68" s="70" t="s">
        <v>2743</v>
      </c>
    </row>
    <row r="69" spans="1:8" x14ac:dyDescent="0.25">
      <c r="A69" s="70" t="s">
        <v>1179</v>
      </c>
      <c r="B69" s="70" t="s">
        <v>157</v>
      </c>
      <c r="C69" s="70" t="s">
        <v>1064</v>
      </c>
      <c r="D69" s="71" t="s">
        <v>234</v>
      </c>
      <c r="E69" s="70" t="s">
        <v>1076</v>
      </c>
      <c r="F69" s="70" t="s">
        <v>191</v>
      </c>
      <c r="G69" s="70" t="s">
        <v>164</v>
      </c>
      <c r="H69" s="70"/>
    </row>
    <row r="70" spans="1:8" x14ac:dyDescent="0.25">
      <c r="A70" s="70" t="s">
        <v>1180</v>
      </c>
      <c r="B70" s="70" t="s">
        <v>157</v>
      </c>
      <c r="C70" s="70" t="s">
        <v>1089</v>
      </c>
      <c r="D70" s="71" t="s">
        <v>234</v>
      </c>
      <c r="E70" s="70" t="s">
        <v>1077</v>
      </c>
      <c r="F70" s="70" t="s">
        <v>191</v>
      </c>
      <c r="G70" s="70" t="s">
        <v>164</v>
      </c>
      <c r="H70" s="70"/>
    </row>
    <row r="71" spans="1:8" x14ac:dyDescent="0.25">
      <c r="A71" s="70" t="s">
        <v>1181</v>
      </c>
      <c r="B71" s="70" t="s">
        <v>157</v>
      </c>
      <c r="C71" s="70" t="s">
        <v>1090</v>
      </c>
      <c r="D71" s="71" t="s">
        <v>234</v>
      </c>
      <c r="E71" s="70" t="s">
        <v>1077</v>
      </c>
      <c r="F71" s="70" t="s">
        <v>191</v>
      </c>
      <c r="G71" s="70" t="s">
        <v>164</v>
      </c>
      <c r="H71" s="70"/>
    </row>
    <row r="72" spans="1:8" x14ac:dyDescent="0.25">
      <c r="A72" s="70" t="s">
        <v>1182</v>
      </c>
      <c r="B72" s="70" t="s">
        <v>157</v>
      </c>
      <c r="C72" s="70" t="s">
        <v>1065</v>
      </c>
      <c r="D72" s="71" t="s">
        <v>234</v>
      </c>
      <c r="E72" s="70" t="s">
        <v>1077</v>
      </c>
      <c r="F72" s="70" t="s">
        <v>191</v>
      </c>
      <c r="G72" s="70" t="s">
        <v>164</v>
      </c>
      <c r="H72" s="70"/>
    </row>
    <row r="73" spans="1:8" x14ac:dyDescent="0.25">
      <c r="A73" s="70" t="s">
        <v>1183</v>
      </c>
      <c r="B73" s="70" t="s">
        <v>157</v>
      </c>
      <c r="C73" s="70" t="s">
        <v>1114</v>
      </c>
      <c r="D73" s="71" t="s">
        <v>234</v>
      </c>
      <c r="E73" s="70" t="s">
        <v>1077</v>
      </c>
      <c r="F73" s="70" t="s">
        <v>191</v>
      </c>
      <c r="G73" s="70" t="s">
        <v>164</v>
      </c>
      <c r="H73" s="70"/>
    </row>
    <row r="74" spans="1:8" x14ac:dyDescent="0.25">
      <c r="A74" s="70" t="s">
        <v>1184</v>
      </c>
      <c r="B74" s="70" t="s">
        <v>157</v>
      </c>
      <c r="C74" s="70" t="s">
        <v>1115</v>
      </c>
      <c r="D74" s="71" t="s">
        <v>234</v>
      </c>
      <c r="E74" s="70" t="s">
        <v>1077</v>
      </c>
      <c r="F74" s="70" t="s">
        <v>191</v>
      </c>
      <c r="G74" s="70" t="s">
        <v>164</v>
      </c>
      <c r="H74" s="70"/>
    </row>
    <row r="75" spans="1:8" x14ac:dyDescent="0.25">
      <c r="A75" s="70" t="s">
        <v>1185</v>
      </c>
      <c r="B75" s="70" t="s">
        <v>157</v>
      </c>
      <c r="C75" s="70" t="s">
        <v>1094</v>
      </c>
      <c r="D75" s="71" t="s">
        <v>281</v>
      </c>
      <c r="E75" s="70" t="s">
        <v>242</v>
      </c>
      <c r="F75" s="70" t="s">
        <v>191</v>
      </c>
      <c r="G75" s="70" t="s">
        <v>164</v>
      </c>
      <c r="H75" s="70"/>
    </row>
    <row r="76" spans="1:8" x14ac:dyDescent="0.25">
      <c r="A76" s="70" t="s">
        <v>1186</v>
      </c>
      <c r="B76" s="70" t="s">
        <v>157</v>
      </c>
      <c r="C76" s="70" t="s">
        <v>1095</v>
      </c>
      <c r="D76" s="71" t="s">
        <v>281</v>
      </c>
      <c r="E76" s="70" t="s">
        <v>242</v>
      </c>
      <c r="F76" s="70" t="s">
        <v>191</v>
      </c>
      <c r="G76" s="70" t="s">
        <v>164</v>
      </c>
      <c r="H76" s="70"/>
    </row>
    <row r="77" spans="1:8" x14ac:dyDescent="0.25">
      <c r="A77" s="70" t="s">
        <v>1187</v>
      </c>
      <c r="B77" s="70" t="s">
        <v>157</v>
      </c>
      <c r="C77" s="70" t="s">
        <v>1066</v>
      </c>
      <c r="D77" s="71" t="s">
        <v>198</v>
      </c>
      <c r="E77" s="70" t="s">
        <v>1044</v>
      </c>
      <c r="F77" s="70" t="s">
        <v>200</v>
      </c>
      <c r="G77" s="70" t="s">
        <v>164</v>
      </c>
      <c r="H77" s="70" t="s">
        <v>1072</v>
      </c>
    </row>
    <row r="78" spans="1:8" x14ac:dyDescent="0.25">
      <c r="A78" s="70" t="s">
        <v>1188</v>
      </c>
      <c r="B78" s="70" t="s">
        <v>157</v>
      </c>
      <c r="C78" s="70" t="s">
        <v>1070</v>
      </c>
      <c r="D78" s="71" t="s">
        <v>233</v>
      </c>
      <c r="E78" s="70" t="s">
        <v>1038</v>
      </c>
      <c r="F78" s="70" t="s">
        <v>1039</v>
      </c>
      <c r="G78" s="70" t="s">
        <v>164</v>
      </c>
      <c r="H78" s="70" t="s">
        <v>283</v>
      </c>
    </row>
    <row r="79" spans="1:8" x14ac:dyDescent="0.25">
      <c r="A79" s="70" t="s">
        <v>1189</v>
      </c>
      <c r="B79" s="70" t="s">
        <v>157</v>
      </c>
      <c r="C79" s="70" t="s">
        <v>1067</v>
      </c>
      <c r="D79" s="71" t="s">
        <v>6</v>
      </c>
      <c r="E79" s="70" t="s">
        <v>1071</v>
      </c>
      <c r="F79" s="70" t="s">
        <v>199</v>
      </c>
      <c r="G79" s="70" t="s">
        <v>164</v>
      </c>
      <c r="H79" s="70" t="s">
        <v>1073</v>
      </c>
    </row>
    <row r="80" spans="1:8" x14ac:dyDescent="0.25">
      <c r="A80" s="70" t="s">
        <v>1190</v>
      </c>
      <c r="B80" s="70" t="s">
        <v>157</v>
      </c>
      <c r="C80" s="70" t="s">
        <v>1084</v>
      </c>
      <c r="D80" s="71" t="s">
        <v>233</v>
      </c>
      <c r="E80" s="70" t="s">
        <v>1043</v>
      </c>
      <c r="F80" s="70" t="s">
        <v>200</v>
      </c>
      <c r="G80" s="70" t="s">
        <v>164</v>
      </c>
      <c r="H80" s="70"/>
    </row>
    <row r="81" spans="1:8" x14ac:dyDescent="0.25">
      <c r="A81" s="70" t="s">
        <v>1191</v>
      </c>
      <c r="B81" s="70" t="s">
        <v>157</v>
      </c>
      <c r="C81" s="70" t="s">
        <v>1091</v>
      </c>
      <c r="D81" s="71" t="s">
        <v>233</v>
      </c>
      <c r="E81" s="70" t="s">
        <v>1043</v>
      </c>
      <c r="F81" s="70" t="s">
        <v>200</v>
      </c>
      <c r="G81" s="70" t="s">
        <v>164</v>
      </c>
      <c r="H81" s="70"/>
    </row>
    <row r="82" spans="1:8" x14ac:dyDescent="0.25">
      <c r="A82" s="70" t="s">
        <v>1192</v>
      </c>
      <c r="B82" s="70" t="s">
        <v>157</v>
      </c>
      <c r="C82" s="70" t="s">
        <v>1092</v>
      </c>
      <c r="D82" s="71" t="s">
        <v>233</v>
      </c>
      <c r="E82" s="70" t="s">
        <v>1043</v>
      </c>
      <c r="F82" s="70" t="s">
        <v>200</v>
      </c>
      <c r="G82" s="70" t="s">
        <v>164</v>
      </c>
      <c r="H82" s="70"/>
    </row>
    <row r="83" spans="1:8" x14ac:dyDescent="0.25">
      <c r="A83" s="70" t="s">
        <v>1193</v>
      </c>
      <c r="B83" s="70" t="s">
        <v>157</v>
      </c>
      <c r="C83" s="70" t="s">
        <v>1085</v>
      </c>
      <c r="D83" s="71" t="s">
        <v>233</v>
      </c>
      <c r="E83" s="70" t="s">
        <v>1043</v>
      </c>
      <c r="F83" s="70" t="s">
        <v>191</v>
      </c>
      <c r="G83" s="70" t="s">
        <v>164</v>
      </c>
      <c r="H83" s="70"/>
    </row>
    <row r="84" spans="1:8" x14ac:dyDescent="0.25">
      <c r="A84" s="70" t="s">
        <v>1194</v>
      </c>
      <c r="B84" s="70" t="s">
        <v>157</v>
      </c>
      <c r="C84" s="70" t="s">
        <v>1086</v>
      </c>
      <c r="D84" s="71" t="s">
        <v>233</v>
      </c>
      <c r="E84" s="70" t="s">
        <v>1043</v>
      </c>
      <c r="F84" s="70" t="s">
        <v>218</v>
      </c>
      <c r="G84" s="70" t="s">
        <v>164</v>
      </c>
      <c r="H84" s="70"/>
    </row>
    <row r="85" spans="1:8" x14ac:dyDescent="0.25">
      <c r="A85" s="70" t="s">
        <v>1195</v>
      </c>
      <c r="B85" s="70" t="s">
        <v>157</v>
      </c>
      <c r="C85" s="70" t="s">
        <v>1093</v>
      </c>
      <c r="D85" s="71" t="s">
        <v>233</v>
      </c>
      <c r="E85" s="70" t="s">
        <v>1043</v>
      </c>
      <c r="F85" s="70" t="s">
        <v>218</v>
      </c>
      <c r="G85" s="70" t="s">
        <v>164</v>
      </c>
      <c r="H85" s="70"/>
    </row>
    <row r="86" spans="1:8" x14ac:dyDescent="0.25">
      <c r="A86" s="70" t="s">
        <v>1196</v>
      </c>
      <c r="B86" s="70" t="s">
        <v>157</v>
      </c>
      <c r="C86" s="70" t="s">
        <v>1087</v>
      </c>
      <c r="D86" s="71" t="s">
        <v>233</v>
      </c>
      <c r="E86" s="70" t="s">
        <v>1043</v>
      </c>
      <c r="F86" s="70" t="s">
        <v>191</v>
      </c>
      <c r="G86" s="70" t="s">
        <v>164</v>
      </c>
      <c r="H86" s="70"/>
    </row>
    <row r="87" spans="1:8" x14ac:dyDescent="0.25">
      <c r="A87" s="70" t="s">
        <v>1197</v>
      </c>
      <c r="B87" s="70" t="s">
        <v>157</v>
      </c>
      <c r="C87" s="70" t="s">
        <v>1102</v>
      </c>
      <c r="D87" s="71" t="s">
        <v>234</v>
      </c>
      <c r="E87" s="70" t="s">
        <v>1043</v>
      </c>
      <c r="F87" s="70" t="s">
        <v>191</v>
      </c>
      <c r="G87" s="70" t="s">
        <v>164</v>
      </c>
      <c r="H87" s="70" t="s">
        <v>2743</v>
      </c>
    </row>
    <row r="88" spans="1:8" x14ac:dyDescent="0.25">
      <c r="A88" s="70" t="s">
        <v>1198</v>
      </c>
      <c r="B88" s="70" t="s">
        <v>157</v>
      </c>
      <c r="C88" s="70" t="s">
        <v>1103</v>
      </c>
      <c r="D88" s="71" t="s">
        <v>234</v>
      </c>
      <c r="E88" s="70" t="s">
        <v>1076</v>
      </c>
      <c r="F88" s="70" t="s">
        <v>191</v>
      </c>
      <c r="G88" s="70" t="s">
        <v>164</v>
      </c>
      <c r="H88" s="70"/>
    </row>
    <row r="89" spans="1:8" x14ac:dyDescent="0.25">
      <c r="A89" s="70" t="s">
        <v>1199</v>
      </c>
      <c r="B89" s="70" t="s">
        <v>157</v>
      </c>
      <c r="C89" s="70" t="s">
        <v>1107</v>
      </c>
      <c r="D89" s="71" t="s">
        <v>234</v>
      </c>
      <c r="E89" s="70" t="s">
        <v>1077</v>
      </c>
      <c r="F89" s="70" t="s">
        <v>191</v>
      </c>
      <c r="G89" s="70" t="s">
        <v>164</v>
      </c>
      <c r="H89" s="70" t="s">
        <v>1263</v>
      </c>
    </row>
    <row r="90" spans="1:8" x14ac:dyDescent="0.25">
      <c r="A90" s="70" t="s">
        <v>1200</v>
      </c>
      <c r="B90" s="70" t="s">
        <v>157</v>
      </c>
      <c r="C90" s="70" t="s">
        <v>1108</v>
      </c>
      <c r="D90" s="71" t="s">
        <v>234</v>
      </c>
      <c r="E90" s="70" t="s">
        <v>1077</v>
      </c>
      <c r="F90" s="70" t="s">
        <v>191</v>
      </c>
      <c r="G90" s="70" t="s">
        <v>164</v>
      </c>
      <c r="H90" s="70" t="s">
        <v>1263</v>
      </c>
    </row>
    <row r="91" spans="1:8" x14ac:dyDescent="0.25">
      <c r="A91" s="70" t="s">
        <v>1201</v>
      </c>
      <c r="B91" s="70" t="s">
        <v>157</v>
      </c>
      <c r="C91" s="70" t="s">
        <v>1104</v>
      </c>
      <c r="D91" s="71" t="s">
        <v>234</v>
      </c>
      <c r="E91" s="70" t="s">
        <v>1077</v>
      </c>
      <c r="F91" s="70" t="s">
        <v>191</v>
      </c>
      <c r="G91" s="70" t="s">
        <v>164</v>
      </c>
      <c r="H91" s="70"/>
    </row>
    <row r="92" spans="1:8" x14ac:dyDescent="0.25">
      <c r="A92" s="70" t="s">
        <v>1202</v>
      </c>
      <c r="B92" s="70" t="s">
        <v>157</v>
      </c>
      <c r="C92" s="70" t="s">
        <v>1110</v>
      </c>
      <c r="D92" s="71" t="s">
        <v>234</v>
      </c>
      <c r="E92" s="70" t="s">
        <v>1077</v>
      </c>
      <c r="F92" s="70" t="s">
        <v>191</v>
      </c>
      <c r="G92" s="70" t="s">
        <v>164</v>
      </c>
      <c r="H92" s="70" t="s">
        <v>1263</v>
      </c>
    </row>
    <row r="93" spans="1:8" x14ac:dyDescent="0.25">
      <c r="A93" s="70" t="s">
        <v>1203</v>
      </c>
      <c r="B93" s="70" t="s">
        <v>157</v>
      </c>
      <c r="C93" s="70" t="s">
        <v>1111</v>
      </c>
      <c r="D93" s="71" t="s">
        <v>234</v>
      </c>
      <c r="E93" s="70" t="s">
        <v>1077</v>
      </c>
      <c r="F93" s="70" t="s">
        <v>191</v>
      </c>
      <c r="G93" s="70" t="s">
        <v>164</v>
      </c>
      <c r="H93" s="70" t="s">
        <v>1263</v>
      </c>
    </row>
    <row r="94" spans="1:8" x14ac:dyDescent="0.25">
      <c r="A94" s="70" t="s">
        <v>1204</v>
      </c>
      <c r="B94" s="70" t="s">
        <v>157</v>
      </c>
      <c r="C94" s="70" t="s">
        <v>1112</v>
      </c>
      <c r="D94" s="71" t="s">
        <v>281</v>
      </c>
      <c r="E94" s="70" t="s">
        <v>242</v>
      </c>
      <c r="F94" s="70" t="s">
        <v>191</v>
      </c>
      <c r="G94" s="70" t="s">
        <v>164</v>
      </c>
      <c r="H94" s="70" t="s">
        <v>1263</v>
      </c>
    </row>
    <row r="95" spans="1:8" x14ac:dyDescent="0.25">
      <c r="A95" s="70" t="s">
        <v>1205</v>
      </c>
      <c r="B95" s="70" t="s">
        <v>157</v>
      </c>
      <c r="C95" s="70" t="s">
        <v>1113</v>
      </c>
      <c r="D95" s="71" t="s">
        <v>281</v>
      </c>
      <c r="E95" s="70" t="s">
        <v>242</v>
      </c>
      <c r="F95" s="70" t="s">
        <v>191</v>
      </c>
      <c r="G95" s="70" t="s">
        <v>164</v>
      </c>
      <c r="H95" s="70" t="s">
        <v>1263</v>
      </c>
    </row>
    <row r="96" spans="1:8" x14ac:dyDescent="0.25">
      <c r="A96" s="70" t="s">
        <v>1206</v>
      </c>
      <c r="B96" s="70" t="s">
        <v>157</v>
      </c>
      <c r="C96" s="70" t="s">
        <v>1105</v>
      </c>
      <c r="D96" s="71" t="s">
        <v>198</v>
      </c>
      <c r="E96" s="70" t="s">
        <v>1044</v>
      </c>
      <c r="F96" s="70" t="s">
        <v>200</v>
      </c>
      <c r="G96" s="70" t="s">
        <v>164</v>
      </c>
      <c r="H96" s="70"/>
    </row>
    <row r="97" spans="1:8" x14ac:dyDescent="0.25">
      <c r="A97" s="70" t="s">
        <v>1208</v>
      </c>
      <c r="B97" s="70" t="s">
        <v>157</v>
      </c>
      <c r="C97" s="70" t="s">
        <v>1109</v>
      </c>
      <c r="D97" s="71" t="s">
        <v>233</v>
      </c>
      <c r="E97" s="70" t="s">
        <v>1038</v>
      </c>
      <c r="F97" s="70" t="s">
        <v>1039</v>
      </c>
      <c r="G97" s="70" t="s">
        <v>164</v>
      </c>
      <c r="H97" s="70" t="s">
        <v>283</v>
      </c>
    </row>
    <row r="98" spans="1:8" x14ac:dyDescent="0.25">
      <c r="A98" s="70" t="s">
        <v>1207</v>
      </c>
      <c r="B98" s="70" t="s">
        <v>157</v>
      </c>
      <c r="C98" s="70" t="s">
        <v>1106</v>
      </c>
      <c r="D98" s="71" t="s">
        <v>6</v>
      </c>
      <c r="E98" s="70" t="s">
        <v>1265</v>
      </c>
      <c r="F98" s="70" t="s">
        <v>199</v>
      </c>
      <c r="G98" s="70" t="s">
        <v>164</v>
      </c>
      <c r="H98" s="70" t="s">
        <v>1073</v>
      </c>
    </row>
    <row r="99" spans="1:8" x14ac:dyDescent="0.25">
      <c r="A99" s="70" t="s">
        <v>1278</v>
      </c>
      <c r="B99" s="70" t="s">
        <v>157</v>
      </c>
      <c r="C99" s="70" t="s">
        <v>1279</v>
      </c>
      <c r="D99" s="71" t="s">
        <v>233</v>
      </c>
      <c r="E99" s="70" t="s">
        <v>235</v>
      </c>
      <c r="F99" s="70" t="s">
        <v>200</v>
      </c>
      <c r="G99" s="70" t="s">
        <v>164</v>
      </c>
      <c r="H99" s="70"/>
    </row>
    <row r="100" spans="1:8" x14ac:dyDescent="0.25">
      <c r="A100" s="70" t="s">
        <v>1285</v>
      </c>
      <c r="B100" s="70" t="s">
        <v>157</v>
      </c>
      <c r="C100" s="70" t="s">
        <v>1286</v>
      </c>
      <c r="D100" s="71" t="s">
        <v>233</v>
      </c>
      <c r="E100" s="70" t="s">
        <v>235</v>
      </c>
      <c r="F100" s="70" t="s">
        <v>200</v>
      </c>
      <c r="G100" s="70" t="s">
        <v>164</v>
      </c>
      <c r="H100" s="70"/>
    </row>
    <row r="101" spans="1:8" x14ac:dyDescent="0.25">
      <c r="A101" s="70" t="s">
        <v>1280</v>
      </c>
      <c r="B101" s="70" t="s">
        <v>157</v>
      </c>
      <c r="C101" s="70" t="s">
        <v>1290</v>
      </c>
      <c r="D101" s="71" t="s">
        <v>233</v>
      </c>
      <c r="E101" s="70" t="s">
        <v>235</v>
      </c>
      <c r="F101" s="70" t="s">
        <v>191</v>
      </c>
      <c r="G101" s="70" t="s">
        <v>164</v>
      </c>
      <c r="H101" s="70"/>
    </row>
    <row r="102" spans="1:8" x14ac:dyDescent="0.25">
      <c r="A102" s="70" t="s">
        <v>1287</v>
      </c>
      <c r="B102" s="70" t="s">
        <v>157</v>
      </c>
      <c r="C102" s="70" t="s">
        <v>1291</v>
      </c>
      <c r="D102" s="71" t="s">
        <v>233</v>
      </c>
      <c r="E102" s="70" t="s">
        <v>235</v>
      </c>
      <c r="F102" s="70" t="s">
        <v>218</v>
      </c>
      <c r="G102" s="70" t="s">
        <v>164</v>
      </c>
      <c r="H102" s="70"/>
    </row>
    <row r="103" spans="1:8" x14ac:dyDescent="0.25">
      <c r="A103" s="70" t="s">
        <v>1288</v>
      </c>
      <c r="B103" s="70" t="s">
        <v>157</v>
      </c>
      <c r="C103" s="70" t="s">
        <v>1292</v>
      </c>
      <c r="D103" s="71" t="s">
        <v>233</v>
      </c>
      <c r="E103" s="70" t="s">
        <v>235</v>
      </c>
      <c r="F103" s="70" t="s">
        <v>218</v>
      </c>
      <c r="G103" s="70" t="s">
        <v>164</v>
      </c>
      <c r="H103" s="70"/>
    </row>
    <row r="104" spans="1:8" x14ac:dyDescent="0.25">
      <c r="A104" s="70" t="s">
        <v>1289</v>
      </c>
      <c r="B104" s="70" t="s">
        <v>157</v>
      </c>
      <c r="C104" s="70" t="s">
        <v>1293</v>
      </c>
      <c r="D104" s="71" t="s">
        <v>233</v>
      </c>
      <c r="E104" s="70" t="s">
        <v>235</v>
      </c>
      <c r="F104" s="70" t="s">
        <v>191</v>
      </c>
      <c r="G104" s="70" t="s">
        <v>164</v>
      </c>
      <c r="H104" s="70"/>
    </row>
    <row r="105" spans="1:8" x14ac:dyDescent="0.25">
      <c r="A105" s="70" t="s">
        <v>1303</v>
      </c>
      <c r="B105" s="70" t="s">
        <v>157</v>
      </c>
      <c r="C105" s="70" t="s">
        <v>1304</v>
      </c>
      <c r="D105" s="71" t="s">
        <v>234</v>
      </c>
      <c r="E105" s="70" t="s">
        <v>235</v>
      </c>
      <c r="F105" s="70" t="s">
        <v>191</v>
      </c>
      <c r="G105" s="70" t="s">
        <v>164</v>
      </c>
      <c r="H105" s="70" t="s">
        <v>2743</v>
      </c>
    </row>
    <row r="106" spans="1:8" x14ac:dyDescent="0.25">
      <c r="A106" s="70" t="s">
        <v>1306</v>
      </c>
      <c r="B106" s="70" t="s">
        <v>157</v>
      </c>
      <c r="C106" s="70" t="s">
        <v>1307</v>
      </c>
      <c r="D106" s="71" t="s">
        <v>234</v>
      </c>
      <c r="E106" s="70" t="s">
        <v>1076</v>
      </c>
      <c r="F106" s="70" t="s">
        <v>191</v>
      </c>
      <c r="G106" s="70" t="s">
        <v>164</v>
      </c>
      <c r="H106" s="70"/>
    </row>
    <row r="107" spans="1:8" x14ac:dyDescent="0.25">
      <c r="A107" s="70" t="s">
        <v>1308</v>
      </c>
      <c r="B107" s="70" t="s">
        <v>157</v>
      </c>
      <c r="C107" s="70" t="s">
        <v>1318</v>
      </c>
      <c r="D107" s="71" t="s">
        <v>234</v>
      </c>
      <c r="E107" s="70" t="s">
        <v>1077</v>
      </c>
      <c r="F107" s="70" t="s">
        <v>191</v>
      </c>
      <c r="G107" s="70" t="s">
        <v>164</v>
      </c>
      <c r="H107" s="70"/>
    </row>
    <row r="108" spans="1:8" x14ac:dyDescent="0.25">
      <c r="A108" s="70" t="s">
        <v>1309</v>
      </c>
      <c r="B108" s="70" t="s">
        <v>157</v>
      </c>
      <c r="C108" s="70" t="s">
        <v>1319</v>
      </c>
      <c r="D108" s="71" t="s">
        <v>234</v>
      </c>
      <c r="E108" s="70" t="s">
        <v>1077</v>
      </c>
      <c r="F108" s="70" t="s">
        <v>191</v>
      </c>
      <c r="G108" s="70" t="s">
        <v>164</v>
      </c>
      <c r="H108" s="70"/>
    </row>
    <row r="109" spans="1:8" x14ac:dyDescent="0.25">
      <c r="A109" s="70" t="s">
        <v>1310</v>
      </c>
      <c r="B109" s="70" t="s">
        <v>157</v>
      </c>
      <c r="C109" s="70" t="s">
        <v>1320</v>
      </c>
      <c r="D109" s="71" t="s">
        <v>234</v>
      </c>
      <c r="E109" s="70" t="s">
        <v>1077</v>
      </c>
      <c r="F109" s="70" t="s">
        <v>191</v>
      </c>
      <c r="G109" s="70" t="s">
        <v>164</v>
      </c>
      <c r="H109" s="70"/>
    </row>
    <row r="110" spans="1:8" x14ac:dyDescent="0.25">
      <c r="A110" s="70" t="s">
        <v>1311</v>
      </c>
      <c r="B110" s="70" t="s">
        <v>157</v>
      </c>
      <c r="C110" s="70" t="s">
        <v>1321</v>
      </c>
      <c r="D110" s="71" t="s">
        <v>234</v>
      </c>
      <c r="E110" s="70" t="s">
        <v>1077</v>
      </c>
      <c r="F110" s="70" t="s">
        <v>191</v>
      </c>
      <c r="G110" s="70" t="s">
        <v>164</v>
      </c>
      <c r="H110" s="70"/>
    </row>
    <row r="111" spans="1:8" x14ac:dyDescent="0.25">
      <c r="A111" s="70" t="s">
        <v>1312</v>
      </c>
      <c r="B111" s="70" t="s">
        <v>157</v>
      </c>
      <c r="C111" s="70" t="s">
        <v>1322</v>
      </c>
      <c r="D111" s="71" t="s">
        <v>234</v>
      </c>
      <c r="E111" s="70" t="s">
        <v>1077</v>
      </c>
      <c r="F111" s="70" t="s">
        <v>191</v>
      </c>
      <c r="G111" s="70" t="s">
        <v>164</v>
      </c>
      <c r="H111" s="70"/>
    </row>
    <row r="112" spans="1:8" x14ac:dyDescent="0.25">
      <c r="A112" s="70" t="s">
        <v>1313</v>
      </c>
      <c r="B112" s="70" t="s">
        <v>157</v>
      </c>
      <c r="C112" s="70" t="s">
        <v>1323</v>
      </c>
      <c r="D112" s="71" t="s">
        <v>281</v>
      </c>
      <c r="E112" s="70" t="s">
        <v>242</v>
      </c>
      <c r="F112" s="70" t="s">
        <v>191</v>
      </c>
      <c r="G112" s="70" t="s">
        <v>164</v>
      </c>
      <c r="H112" s="70"/>
    </row>
    <row r="113" spans="1:8" x14ac:dyDescent="0.25">
      <c r="A113" s="70" t="s">
        <v>1314</v>
      </c>
      <c r="B113" s="70" t="s">
        <v>157</v>
      </c>
      <c r="C113" s="70" t="s">
        <v>1324</v>
      </c>
      <c r="D113" s="71" t="s">
        <v>281</v>
      </c>
      <c r="E113" s="70" t="s">
        <v>242</v>
      </c>
      <c r="F113" s="70" t="s">
        <v>191</v>
      </c>
      <c r="G113" s="70" t="s">
        <v>164</v>
      </c>
      <c r="H113" s="70"/>
    </row>
    <row r="114" spans="1:8" x14ac:dyDescent="0.25">
      <c r="A114" s="70" t="s">
        <v>1315</v>
      </c>
      <c r="B114" s="70" t="s">
        <v>157</v>
      </c>
      <c r="C114" s="70" t="s">
        <v>1325</v>
      </c>
      <c r="D114" s="71" t="s">
        <v>233</v>
      </c>
      <c r="E114" s="70" t="s">
        <v>1044</v>
      </c>
      <c r="F114" s="70" t="s">
        <v>200</v>
      </c>
      <c r="G114" s="70" t="s">
        <v>164</v>
      </c>
      <c r="H114" s="70"/>
    </row>
    <row r="115" spans="1:8" x14ac:dyDescent="0.25">
      <c r="A115" s="70" t="s">
        <v>1316</v>
      </c>
      <c r="B115" s="70" t="s">
        <v>157</v>
      </c>
      <c r="C115" s="70" t="s">
        <v>1327</v>
      </c>
      <c r="D115" s="71" t="s">
        <v>233</v>
      </c>
      <c r="E115" s="70" t="s">
        <v>1038</v>
      </c>
      <c r="F115" s="70" t="s">
        <v>1039</v>
      </c>
      <c r="G115" s="70" t="s">
        <v>164</v>
      </c>
      <c r="H115" s="70" t="s">
        <v>283</v>
      </c>
    </row>
    <row r="116" spans="1:8" x14ac:dyDescent="0.25">
      <c r="A116" s="70" t="s">
        <v>1317</v>
      </c>
      <c r="B116" s="70" t="s">
        <v>157</v>
      </c>
      <c r="C116" s="70" t="s">
        <v>1326</v>
      </c>
      <c r="D116" s="71" t="s">
        <v>6</v>
      </c>
      <c r="E116" s="70" t="s">
        <v>2700</v>
      </c>
      <c r="F116" s="70" t="s">
        <v>199</v>
      </c>
      <c r="G116" s="70" t="s">
        <v>164</v>
      </c>
      <c r="H116" s="70" t="s">
        <v>1073</v>
      </c>
    </row>
    <row r="117" spans="1:8" x14ac:dyDescent="0.25">
      <c r="A117" s="70" t="s">
        <v>1349</v>
      </c>
      <c r="B117" s="70" t="s">
        <v>157</v>
      </c>
      <c r="C117" s="70" t="s">
        <v>1350</v>
      </c>
      <c r="D117" s="71" t="s">
        <v>233</v>
      </c>
      <c r="E117" s="70" t="s">
        <v>235</v>
      </c>
      <c r="F117" s="70" t="s">
        <v>200</v>
      </c>
      <c r="G117" s="70" t="s">
        <v>164</v>
      </c>
      <c r="H117" s="70"/>
    </row>
    <row r="118" spans="1:8" x14ac:dyDescent="0.25">
      <c r="A118" s="70" t="s">
        <v>1351</v>
      </c>
      <c r="B118" s="70" t="s">
        <v>157</v>
      </c>
      <c r="C118" s="70" t="s">
        <v>1352</v>
      </c>
      <c r="D118" s="71" t="s">
        <v>233</v>
      </c>
      <c r="E118" s="70" t="s">
        <v>235</v>
      </c>
      <c r="F118" s="70" t="s">
        <v>200</v>
      </c>
      <c r="G118" s="70" t="s">
        <v>164</v>
      </c>
      <c r="H118" s="70"/>
    </row>
    <row r="119" spans="1:8" x14ac:dyDescent="0.25">
      <c r="A119" s="70" t="s">
        <v>1353</v>
      </c>
      <c r="B119" s="70" t="s">
        <v>157</v>
      </c>
      <c r="C119" s="70" t="s">
        <v>1354</v>
      </c>
      <c r="D119" s="71" t="s">
        <v>233</v>
      </c>
      <c r="E119" s="70" t="s">
        <v>235</v>
      </c>
      <c r="F119" s="70" t="s">
        <v>191</v>
      </c>
      <c r="G119" s="70" t="s">
        <v>164</v>
      </c>
      <c r="H119" s="70"/>
    </row>
    <row r="120" spans="1:8" x14ac:dyDescent="0.25">
      <c r="A120" s="70" t="s">
        <v>1355</v>
      </c>
      <c r="B120" s="70" t="s">
        <v>157</v>
      </c>
      <c r="C120" s="70" t="s">
        <v>1360</v>
      </c>
      <c r="D120" s="71" t="s">
        <v>233</v>
      </c>
      <c r="E120" s="70" t="s">
        <v>235</v>
      </c>
      <c r="F120" s="70" t="s">
        <v>218</v>
      </c>
      <c r="G120" s="70" t="s">
        <v>164</v>
      </c>
      <c r="H120" s="70"/>
    </row>
    <row r="121" spans="1:8" x14ac:dyDescent="0.25">
      <c r="A121" s="70" t="s">
        <v>1356</v>
      </c>
      <c r="B121" s="70" t="s">
        <v>157</v>
      </c>
      <c r="C121" s="70" t="s">
        <v>1359</v>
      </c>
      <c r="D121" s="71" t="s">
        <v>233</v>
      </c>
      <c r="E121" s="70" t="s">
        <v>235</v>
      </c>
      <c r="F121" s="70" t="s">
        <v>218</v>
      </c>
      <c r="G121" s="70" t="s">
        <v>164</v>
      </c>
      <c r="H121" s="70"/>
    </row>
    <row r="122" spans="1:8" x14ac:dyDescent="0.25">
      <c r="A122" s="70" t="s">
        <v>1357</v>
      </c>
      <c r="B122" s="70" t="s">
        <v>157</v>
      </c>
      <c r="C122" s="70" t="s">
        <v>1358</v>
      </c>
      <c r="D122" s="71" t="s">
        <v>233</v>
      </c>
      <c r="E122" s="70" t="s">
        <v>235</v>
      </c>
      <c r="F122" s="70" t="s">
        <v>191</v>
      </c>
      <c r="G122" s="70" t="s">
        <v>164</v>
      </c>
      <c r="H122" s="70"/>
    </row>
    <row r="123" spans="1:8" x14ac:dyDescent="0.25">
      <c r="A123" s="70" t="s">
        <v>1361</v>
      </c>
      <c r="B123" s="70" t="s">
        <v>157</v>
      </c>
      <c r="C123" s="70" t="s">
        <v>1374</v>
      </c>
      <c r="D123" s="71" t="s">
        <v>234</v>
      </c>
      <c r="E123" s="70" t="s">
        <v>235</v>
      </c>
      <c r="F123" s="70" t="s">
        <v>191</v>
      </c>
      <c r="G123" s="70" t="s">
        <v>164</v>
      </c>
      <c r="H123" s="70" t="s">
        <v>2743</v>
      </c>
    </row>
    <row r="124" spans="1:8" x14ac:dyDescent="0.25">
      <c r="A124" s="70" t="s">
        <v>1362</v>
      </c>
      <c r="B124" s="70" t="s">
        <v>157</v>
      </c>
      <c r="C124" s="70" t="s">
        <v>1375</v>
      </c>
      <c r="D124" s="71" t="s">
        <v>234</v>
      </c>
      <c r="E124" s="70" t="s">
        <v>1076</v>
      </c>
      <c r="F124" s="70" t="s">
        <v>191</v>
      </c>
      <c r="G124" s="70" t="s">
        <v>164</v>
      </c>
      <c r="H124" s="70"/>
    </row>
    <row r="125" spans="1:8" x14ac:dyDescent="0.25">
      <c r="A125" s="70" t="s">
        <v>1363</v>
      </c>
      <c r="B125" s="70" t="s">
        <v>157</v>
      </c>
      <c r="C125" s="70" t="s">
        <v>1379</v>
      </c>
      <c r="D125" s="71" t="s">
        <v>234</v>
      </c>
      <c r="E125" s="70" t="s">
        <v>1077</v>
      </c>
      <c r="F125" s="70" t="s">
        <v>191</v>
      </c>
      <c r="G125" s="70" t="s">
        <v>164</v>
      </c>
      <c r="H125" s="70"/>
    </row>
    <row r="126" spans="1:8" x14ac:dyDescent="0.25">
      <c r="A126" s="70" t="s">
        <v>1364</v>
      </c>
      <c r="B126" s="70" t="s">
        <v>157</v>
      </c>
      <c r="C126" s="70" t="s">
        <v>1380</v>
      </c>
      <c r="D126" s="71" t="s">
        <v>234</v>
      </c>
      <c r="E126" s="70" t="s">
        <v>1077</v>
      </c>
      <c r="F126" s="70" t="s">
        <v>191</v>
      </c>
      <c r="G126" s="70" t="s">
        <v>164</v>
      </c>
      <c r="H126" s="70"/>
    </row>
    <row r="127" spans="1:8" x14ac:dyDescent="0.25">
      <c r="A127" s="70" t="s">
        <v>1365</v>
      </c>
      <c r="B127" s="70" t="s">
        <v>157</v>
      </c>
      <c r="C127" s="70" t="s">
        <v>1376</v>
      </c>
      <c r="D127" s="71" t="s">
        <v>234</v>
      </c>
      <c r="E127" s="70" t="s">
        <v>1077</v>
      </c>
      <c r="F127" s="70" t="s">
        <v>191</v>
      </c>
      <c r="G127" s="70" t="s">
        <v>164</v>
      </c>
      <c r="H127" s="70"/>
    </row>
    <row r="128" spans="1:8" x14ac:dyDescent="0.25">
      <c r="A128" s="70" t="s">
        <v>1366</v>
      </c>
      <c r="B128" s="70" t="s">
        <v>157</v>
      </c>
      <c r="C128" s="70" t="s">
        <v>1377</v>
      </c>
      <c r="D128" s="71" t="s">
        <v>234</v>
      </c>
      <c r="E128" s="70" t="s">
        <v>1077</v>
      </c>
      <c r="F128" s="70" t="s">
        <v>191</v>
      </c>
      <c r="G128" s="70" t="s">
        <v>164</v>
      </c>
      <c r="H128" s="70"/>
    </row>
    <row r="129" spans="1:8" x14ac:dyDescent="0.25">
      <c r="A129" s="70" t="s">
        <v>1367</v>
      </c>
      <c r="B129" s="70" t="s">
        <v>157</v>
      </c>
      <c r="C129" s="70" t="s">
        <v>1381</v>
      </c>
      <c r="D129" s="71" t="s">
        <v>234</v>
      </c>
      <c r="E129" s="70" t="s">
        <v>1077</v>
      </c>
      <c r="F129" s="70" t="s">
        <v>191</v>
      </c>
      <c r="G129" s="70" t="s">
        <v>164</v>
      </c>
      <c r="H129" s="70"/>
    </row>
    <row r="130" spans="1:8" x14ac:dyDescent="0.25">
      <c r="A130" s="70" t="s">
        <v>1368</v>
      </c>
      <c r="B130" s="70" t="s">
        <v>157</v>
      </c>
      <c r="C130" s="70" t="s">
        <v>1378</v>
      </c>
      <c r="D130" s="71" t="s">
        <v>281</v>
      </c>
      <c r="E130" s="70" t="s">
        <v>242</v>
      </c>
      <c r="F130" s="70" t="s">
        <v>191</v>
      </c>
      <c r="G130" s="70" t="s">
        <v>164</v>
      </c>
      <c r="H130" s="70"/>
    </row>
    <row r="131" spans="1:8" x14ac:dyDescent="0.25">
      <c r="A131" s="70" t="s">
        <v>1369</v>
      </c>
      <c r="B131" s="70" t="s">
        <v>157</v>
      </c>
      <c r="C131" s="70" t="s">
        <v>1382</v>
      </c>
      <c r="D131" s="71" t="s">
        <v>281</v>
      </c>
      <c r="E131" s="70" t="s">
        <v>242</v>
      </c>
      <c r="F131" s="70" t="s">
        <v>191</v>
      </c>
      <c r="G131" s="70" t="s">
        <v>164</v>
      </c>
      <c r="H131" s="70"/>
    </row>
    <row r="132" spans="1:8" x14ac:dyDescent="0.25">
      <c r="A132" s="70" t="s">
        <v>1370</v>
      </c>
      <c r="B132" s="70" t="s">
        <v>157</v>
      </c>
      <c r="C132" s="70" t="s">
        <v>2692</v>
      </c>
      <c r="D132" s="71" t="s">
        <v>233</v>
      </c>
      <c r="E132" s="70" t="s">
        <v>1044</v>
      </c>
      <c r="F132" s="70" t="s">
        <v>200</v>
      </c>
      <c r="G132" s="70" t="s">
        <v>164</v>
      </c>
      <c r="H132" s="70"/>
    </row>
    <row r="133" spans="1:8" x14ac:dyDescent="0.25">
      <c r="A133" s="70" t="s">
        <v>1371</v>
      </c>
      <c r="B133" s="70" t="s">
        <v>157</v>
      </c>
      <c r="C133" s="70" t="s">
        <v>2693</v>
      </c>
      <c r="D133" s="71" t="s">
        <v>233</v>
      </c>
      <c r="E133" s="70" t="s">
        <v>1038</v>
      </c>
      <c r="F133" s="70" t="s">
        <v>1039</v>
      </c>
      <c r="G133" s="70" t="s">
        <v>164</v>
      </c>
      <c r="H133" s="70" t="s">
        <v>283</v>
      </c>
    </row>
    <row r="134" spans="1:8" x14ac:dyDescent="0.25">
      <c r="A134" s="70" t="s">
        <v>1372</v>
      </c>
      <c r="B134" s="70" t="s">
        <v>157</v>
      </c>
      <c r="C134" s="70" t="s">
        <v>2694</v>
      </c>
      <c r="D134" s="71" t="s">
        <v>6</v>
      </c>
      <c r="E134" s="70" t="s">
        <v>1373</v>
      </c>
      <c r="F134" s="70" t="s">
        <v>199</v>
      </c>
      <c r="G134" s="70" t="s">
        <v>164</v>
      </c>
      <c r="H134" s="70" t="s">
        <v>1073</v>
      </c>
    </row>
    <row r="135" spans="1:8" x14ac:dyDescent="0.25">
      <c r="A135" s="70" t="s">
        <v>2698</v>
      </c>
      <c r="B135" s="70" t="s">
        <v>157</v>
      </c>
      <c r="C135" s="70" t="s">
        <v>2699</v>
      </c>
      <c r="D135" s="71" t="s">
        <v>233</v>
      </c>
      <c r="E135" s="70" t="s">
        <v>235</v>
      </c>
      <c r="F135" s="70" t="s">
        <v>200</v>
      </c>
      <c r="G135" s="70" t="s">
        <v>164</v>
      </c>
      <c r="H135" s="70"/>
    </row>
    <row r="136" spans="1:8" x14ac:dyDescent="0.25">
      <c r="A136" s="70" t="s">
        <v>2702</v>
      </c>
      <c r="B136" s="70" t="s">
        <v>157</v>
      </c>
      <c r="C136" s="70" t="s">
        <v>2703</v>
      </c>
      <c r="D136" s="71" t="s">
        <v>233</v>
      </c>
      <c r="E136" s="70" t="s">
        <v>235</v>
      </c>
      <c r="F136" s="70" t="s">
        <v>200</v>
      </c>
      <c r="G136" s="70" t="s">
        <v>164</v>
      </c>
      <c r="H136" s="70"/>
    </row>
    <row r="137" spans="1:8" x14ac:dyDescent="0.25">
      <c r="A137" s="70" t="s">
        <v>2706</v>
      </c>
      <c r="B137" s="70" t="s">
        <v>157</v>
      </c>
      <c r="C137" s="70" t="s">
        <v>2709</v>
      </c>
      <c r="D137" s="71" t="s">
        <v>233</v>
      </c>
      <c r="E137" s="70" t="s">
        <v>235</v>
      </c>
      <c r="F137" s="70" t="s">
        <v>200</v>
      </c>
      <c r="G137" s="70" t="s">
        <v>164</v>
      </c>
      <c r="H137" s="70"/>
    </row>
    <row r="138" spans="1:8" x14ac:dyDescent="0.25">
      <c r="A138" s="70" t="s">
        <v>2704</v>
      </c>
      <c r="B138" s="70" t="s">
        <v>157</v>
      </c>
      <c r="C138" s="70" t="s">
        <v>2710</v>
      </c>
      <c r="D138" s="71" t="s">
        <v>233</v>
      </c>
      <c r="E138" s="70" t="s">
        <v>235</v>
      </c>
      <c r="F138" s="70" t="s">
        <v>191</v>
      </c>
      <c r="G138" s="70" t="s">
        <v>164</v>
      </c>
      <c r="H138" s="70"/>
    </row>
    <row r="139" spans="1:8" x14ac:dyDescent="0.25">
      <c r="A139" s="70" t="s">
        <v>2705</v>
      </c>
      <c r="B139" s="70" t="s">
        <v>157</v>
      </c>
      <c r="C139" s="70" t="s">
        <v>2711</v>
      </c>
      <c r="D139" s="71" t="s">
        <v>233</v>
      </c>
      <c r="E139" s="70" t="s">
        <v>235</v>
      </c>
      <c r="F139" s="70" t="s">
        <v>218</v>
      </c>
      <c r="G139" s="70" t="s">
        <v>164</v>
      </c>
      <c r="H139" s="70"/>
    </row>
    <row r="140" spans="1:8" x14ac:dyDescent="0.25">
      <c r="A140" s="70" t="s">
        <v>2707</v>
      </c>
      <c r="B140" s="70" t="s">
        <v>157</v>
      </c>
      <c r="C140" s="70" t="s">
        <v>2712</v>
      </c>
      <c r="D140" s="71" t="s">
        <v>233</v>
      </c>
      <c r="E140" s="70" t="s">
        <v>235</v>
      </c>
      <c r="F140" s="70" t="s">
        <v>218</v>
      </c>
      <c r="G140" s="70" t="s">
        <v>164</v>
      </c>
      <c r="H140" s="70"/>
    </row>
    <row r="141" spans="1:8" x14ac:dyDescent="0.25">
      <c r="A141" s="70" t="s">
        <v>2708</v>
      </c>
      <c r="B141" s="70" t="s">
        <v>157</v>
      </c>
      <c r="C141" s="70" t="s">
        <v>2713</v>
      </c>
      <c r="D141" s="71" t="s">
        <v>233</v>
      </c>
      <c r="E141" s="70" t="s">
        <v>235</v>
      </c>
      <c r="F141" s="70" t="s">
        <v>191</v>
      </c>
      <c r="G141" s="70" t="s">
        <v>164</v>
      </c>
      <c r="H141" s="70"/>
    </row>
    <row r="142" spans="1:8" x14ac:dyDescent="0.25">
      <c r="A142" s="70" t="s">
        <v>2714</v>
      </c>
      <c r="B142" s="70" t="s">
        <v>157</v>
      </c>
      <c r="C142" s="70" t="s">
        <v>2715</v>
      </c>
      <c r="D142" s="71" t="s">
        <v>234</v>
      </c>
      <c r="E142" s="70" t="s">
        <v>235</v>
      </c>
      <c r="F142" s="70" t="s">
        <v>191</v>
      </c>
      <c r="G142" s="70" t="s">
        <v>164</v>
      </c>
      <c r="H142" s="70" t="s">
        <v>2743</v>
      </c>
    </row>
    <row r="143" spans="1:8" x14ac:dyDescent="0.25">
      <c r="A143" s="70" t="s">
        <v>2717</v>
      </c>
      <c r="B143" s="70" t="s">
        <v>157</v>
      </c>
      <c r="C143" s="70" t="s">
        <v>2716</v>
      </c>
      <c r="D143" s="71" t="s">
        <v>234</v>
      </c>
      <c r="E143" s="70" t="s">
        <v>1076</v>
      </c>
      <c r="F143" s="70" t="s">
        <v>191</v>
      </c>
      <c r="G143" s="70" t="s">
        <v>164</v>
      </c>
      <c r="H143" s="70"/>
    </row>
    <row r="144" spans="1:8" x14ac:dyDescent="0.25">
      <c r="A144" s="70" t="s">
        <v>2718</v>
      </c>
      <c r="B144" s="70" t="s">
        <v>157</v>
      </c>
      <c r="C144" s="70" t="s">
        <v>2728</v>
      </c>
      <c r="D144" s="71" t="s">
        <v>234</v>
      </c>
      <c r="E144" s="70" t="s">
        <v>1077</v>
      </c>
      <c r="F144" s="70" t="s">
        <v>191</v>
      </c>
      <c r="G144" s="70" t="s">
        <v>164</v>
      </c>
      <c r="H144" s="70"/>
    </row>
    <row r="145" spans="1:8" x14ac:dyDescent="0.25">
      <c r="A145" s="70" t="s">
        <v>2719</v>
      </c>
      <c r="B145" s="70" t="s">
        <v>157</v>
      </c>
      <c r="C145" s="70" t="s">
        <v>2729</v>
      </c>
      <c r="D145" s="71" t="s">
        <v>234</v>
      </c>
      <c r="E145" s="70" t="s">
        <v>1077</v>
      </c>
      <c r="F145" s="70" t="s">
        <v>191</v>
      </c>
      <c r="G145" s="70" t="s">
        <v>164</v>
      </c>
      <c r="H145" s="70"/>
    </row>
    <row r="146" spans="1:8" x14ac:dyDescent="0.25">
      <c r="A146" s="70" t="s">
        <v>2720</v>
      </c>
      <c r="B146" s="70" t="s">
        <v>157</v>
      </c>
      <c r="C146" s="70" t="s">
        <v>2730</v>
      </c>
      <c r="D146" s="71" t="s">
        <v>234</v>
      </c>
      <c r="E146" s="70" t="s">
        <v>1077</v>
      </c>
      <c r="F146" s="70" t="s">
        <v>191</v>
      </c>
      <c r="G146" s="70" t="s">
        <v>164</v>
      </c>
      <c r="H146" s="70"/>
    </row>
    <row r="147" spans="1:8" x14ac:dyDescent="0.25">
      <c r="A147" s="70" t="s">
        <v>2721</v>
      </c>
      <c r="B147" s="70" t="s">
        <v>157</v>
      </c>
      <c r="C147" s="70" t="s">
        <v>2731</v>
      </c>
      <c r="D147" s="71" t="s">
        <v>234</v>
      </c>
      <c r="E147" s="70" t="s">
        <v>1077</v>
      </c>
      <c r="F147" s="70" t="s">
        <v>191</v>
      </c>
      <c r="G147" s="70" t="s">
        <v>164</v>
      </c>
      <c r="H147" s="70"/>
    </row>
    <row r="148" spans="1:8" x14ac:dyDescent="0.25">
      <c r="A148" s="70" t="s">
        <v>2722</v>
      </c>
      <c r="B148" s="70" t="s">
        <v>157</v>
      </c>
      <c r="C148" s="70" t="s">
        <v>2732</v>
      </c>
      <c r="D148" s="71" t="s">
        <v>234</v>
      </c>
      <c r="E148" s="70" t="s">
        <v>1077</v>
      </c>
      <c r="F148" s="70" t="s">
        <v>191</v>
      </c>
      <c r="G148" s="70" t="s">
        <v>164</v>
      </c>
      <c r="H148" s="70"/>
    </row>
    <row r="149" spans="1:8" x14ac:dyDescent="0.25">
      <c r="A149" s="70" t="s">
        <v>2723</v>
      </c>
      <c r="B149" s="70" t="s">
        <v>157</v>
      </c>
      <c r="C149" s="70" t="s">
        <v>2733</v>
      </c>
      <c r="D149" s="71" t="s">
        <v>281</v>
      </c>
      <c r="E149" s="70" t="s">
        <v>242</v>
      </c>
      <c r="F149" s="70" t="s">
        <v>191</v>
      </c>
      <c r="G149" s="70" t="s">
        <v>164</v>
      </c>
      <c r="H149" s="70"/>
    </row>
    <row r="150" spans="1:8" x14ac:dyDescent="0.25">
      <c r="A150" s="70" t="s">
        <v>2724</v>
      </c>
      <c r="B150" s="70" t="s">
        <v>157</v>
      </c>
      <c r="C150" s="70" t="s">
        <v>2734</v>
      </c>
      <c r="D150" s="71" t="s">
        <v>281</v>
      </c>
      <c r="E150" s="70" t="s">
        <v>242</v>
      </c>
      <c r="F150" s="70" t="s">
        <v>191</v>
      </c>
      <c r="G150" s="70" t="s">
        <v>164</v>
      </c>
      <c r="H150" s="70"/>
    </row>
    <row r="151" spans="1:8" x14ac:dyDescent="0.25">
      <c r="A151" s="70" t="s">
        <v>2725</v>
      </c>
      <c r="B151" s="70" t="s">
        <v>157</v>
      </c>
      <c r="C151" s="70" t="s">
        <v>2735</v>
      </c>
      <c r="D151" s="71" t="s">
        <v>233</v>
      </c>
      <c r="E151" s="70" t="s">
        <v>1044</v>
      </c>
      <c r="F151" s="70" t="s">
        <v>200</v>
      </c>
      <c r="G151" s="70" t="s">
        <v>164</v>
      </c>
      <c r="H151" s="70"/>
    </row>
    <row r="152" spans="1:8" x14ac:dyDescent="0.25">
      <c r="A152" s="70" t="s">
        <v>2726</v>
      </c>
      <c r="B152" s="70" t="s">
        <v>157</v>
      </c>
      <c r="C152" s="70" t="s">
        <v>2744</v>
      </c>
      <c r="D152" s="71" t="s">
        <v>233</v>
      </c>
      <c r="E152" s="70" t="s">
        <v>1038</v>
      </c>
      <c r="F152" s="70" t="s">
        <v>1039</v>
      </c>
      <c r="G152" s="70" t="s">
        <v>164</v>
      </c>
      <c r="H152" s="70" t="s">
        <v>283</v>
      </c>
    </row>
    <row r="153" spans="1:8" x14ac:dyDescent="0.25">
      <c r="A153" s="70" t="s">
        <v>2727</v>
      </c>
      <c r="B153" s="70" t="s">
        <v>157</v>
      </c>
      <c r="C153" s="70" t="s">
        <v>2736</v>
      </c>
      <c r="D153" s="71" t="s">
        <v>6</v>
      </c>
      <c r="E153" s="70" t="s">
        <v>2701</v>
      </c>
      <c r="F153" s="70" t="s">
        <v>199</v>
      </c>
      <c r="G153" s="70" t="s">
        <v>164</v>
      </c>
      <c r="H153" s="70" t="s">
        <v>1073</v>
      </c>
    </row>
    <row r="154" spans="1:8" x14ac:dyDescent="0.25">
      <c r="A154" s="70" t="s">
        <v>2751</v>
      </c>
      <c r="B154" s="70" t="s">
        <v>157</v>
      </c>
      <c r="C154" s="70" t="s">
        <v>2771</v>
      </c>
      <c r="D154" s="71" t="s">
        <v>233</v>
      </c>
      <c r="E154" s="70" t="s">
        <v>235</v>
      </c>
      <c r="F154" s="70" t="s">
        <v>200</v>
      </c>
      <c r="G154" s="70" t="s">
        <v>164</v>
      </c>
      <c r="H154" s="70"/>
    </row>
    <row r="155" spans="1:8" x14ac:dyDescent="0.25">
      <c r="A155" s="70" t="s">
        <v>2753</v>
      </c>
      <c r="B155" s="70" t="s">
        <v>157</v>
      </c>
      <c r="C155" s="70" t="s">
        <v>2780</v>
      </c>
      <c r="D155" s="71" t="s">
        <v>233</v>
      </c>
      <c r="E155" s="70" t="s">
        <v>235</v>
      </c>
      <c r="F155" s="70" t="s">
        <v>200</v>
      </c>
      <c r="G155" s="70" t="s">
        <v>164</v>
      </c>
      <c r="H155" s="70"/>
    </row>
    <row r="156" spans="1:8" x14ac:dyDescent="0.25">
      <c r="A156" s="70" t="s">
        <v>2752</v>
      </c>
      <c r="B156" s="70" t="s">
        <v>157</v>
      </c>
      <c r="C156" s="70" t="s">
        <v>2781</v>
      </c>
      <c r="D156" s="71" t="s">
        <v>233</v>
      </c>
      <c r="E156" s="70" t="s">
        <v>235</v>
      </c>
      <c r="F156" s="70" t="s">
        <v>200</v>
      </c>
      <c r="G156" s="70" t="s">
        <v>164</v>
      </c>
      <c r="H156" s="70"/>
    </row>
    <row r="157" spans="1:8" x14ac:dyDescent="0.25">
      <c r="A157" s="70" t="s">
        <v>2754</v>
      </c>
      <c r="B157" s="70" t="s">
        <v>157</v>
      </c>
      <c r="C157" s="70" t="s">
        <v>2782</v>
      </c>
      <c r="D157" s="71" t="s">
        <v>233</v>
      </c>
      <c r="E157" s="70" t="s">
        <v>235</v>
      </c>
      <c r="F157" s="70" t="s">
        <v>200</v>
      </c>
      <c r="G157" s="70" t="s">
        <v>164</v>
      </c>
      <c r="H157" s="70"/>
    </row>
    <row r="158" spans="1:8" x14ac:dyDescent="0.25">
      <c r="A158" s="70" t="s">
        <v>2755</v>
      </c>
      <c r="B158" s="70" t="s">
        <v>157</v>
      </c>
      <c r="C158" s="70" t="s">
        <v>2772</v>
      </c>
      <c r="D158" s="71" t="s">
        <v>233</v>
      </c>
      <c r="E158" s="70" t="s">
        <v>235</v>
      </c>
      <c r="F158" s="70" t="s">
        <v>191</v>
      </c>
      <c r="G158" s="70" t="s">
        <v>164</v>
      </c>
      <c r="H158" s="70"/>
    </row>
    <row r="159" spans="1:8" x14ac:dyDescent="0.25">
      <c r="A159" s="70" t="s">
        <v>2756</v>
      </c>
      <c r="B159" s="70" t="s">
        <v>157</v>
      </c>
      <c r="C159" s="70" t="s">
        <v>2787</v>
      </c>
      <c r="D159" s="71" t="s">
        <v>233</v>
      </c>
      <c r="E159" s="70" t="s">
        <v>235</v>
      </c>
      <c r="F159" s="70" t="s">
        <v>218</v>
      </c>
      <c r="G159" s="70" t="s">
        <v>164</v>
      </c>
      <c r="H159" s="70"/>
    </row>
    <row r="160" spans="1:8" x14ac:dyDescent="0.25">
      <c r="A160" s="70" t="s">
        <v>2757</v>
      </c>
      <c r="B160" s="70" t="s">
        <v>157</v>
      </c>
      <c r="C160" s="70" t="s">
        <v>2788</v>
      </c>
      <c r="D160" s="71" t="s">
        <v>233</v>
      </c>
      <c r="E160" s="70" t="s">
        <v>235</v>
      </c>
      <c r="F160" s="70" t="s">
        <v>218</v>
      </c>
      <c r="G160" s="70" t="s">
        <v>164</v>
      </c>
      <c r="H160" s="70"/>
    </row>
    <row r="161" spans="1:8" x14ac:dyDescent="0.25">
      <c r="A161" s="70" t="s">
        <v>2758</v>
      </c>
      <c r="B161" s="70" t="s">
        <v>157</v>
      </c>
      <c r="C161" s="70" t="s">
        <v>2789</v>
      </c>
      <c r="D161" s="71" t="s">
        <v>233</v>
      </c>
      <c r="E161" s="70" t="s">
        <v>235</v>
      </c>
      <c r="F161" s="70" t="s">
        <v>191</v>
      </c>
      <c r="G161" s="70" t="s">
        <v>164</v>
      </c>
      <c r="H161" s="70"/>
    </row>
    <row r="162" spans="1:8" x14ac:dyDescent="0.25">
      <c r="A162" s="70" t="s">
        <v>2759</v>
      </c>
      <c r="B162" s="70" t="s">
        <v>157</v>
      </c>
      <c r="C162" s="70" t="s">
        <v>2773</v>
      </c>
      <c r="D162" s="71" t="s">
        <v>234</v>
      </c>
      <c r="E162" s="70" t="s">
        <v>235</v>
      </c>
      <c r="F162" s="70" t="s">
        <v>191</v>
      </c>
      <c r="G162" s="70" t="s">
        <v>164</v>
      </c>
      <c r="H162" s="70" t="s">
        <v>2743</v>
      </c>
    </row>
    <row r="163" spans="1:8" x14ac:dyDescent="0.25">
      <c r="A163" s="70" t="s">
        <v>2760</v>
      </c>
      <c r="B163" s="70" t="s">
        <v>157</v>
      </c>
      <c r="C163" s="70" t="s">
        <v>2774</v>
      </c>
      <c r="D163" s="71" t="s">
        <v>234</v>
      </c>
      <c r="E163" s="70" t="s">
        <v>1076</v>
      </c>
      <c r="F163" s="70" t="s">
        <v>191</v>
      </c>
      <c r="G163" s="70" t="s">
        <v>164</v>
      </c>
      <c r="H163" s="70"/>
    </row>
    <row r="164" spans="1:8" x14ac:dyDescent="0.25">
      <c r="A164" s="70" t="s">
        <v>2761</v>
      </c>
      <c r="B164" s="70" t="s">
        <v>157</v>
      </c>
      <c r="C164" s="70" t="s">
        <v>2783</v>
      </c>
      <c r="D164" s="71" t="s">
        <v>234</v>
      </c>
      <c r="E164" s="70" t="s">
        <v>1077</v>
      </c>
      <c r="F164" s="70" t="s">
        <v>191</v>
      </c>
      <c r="G164" s="70" t="s">
        <v>164</v>
      </c>
      <c r="H164" s="70"/>
    </row>
    <row r="165" spans="1:8" x14ac:dyDescent="0.25">
      <c r="A165" s="70" t="s">
        <v>2762</v>
      </c>
      <c r="B165" s="70" t="s">
        <v>157</v>
      </c>
      <c r="C165" s="70" t="s">
        <v>2784</v>
      </c>
      <c r="D165" s="71" t="s">
        <v>234</v>
      </c>
      <c r="E165" s="70" t="s">
        <v>1077</v>
      </c>
      <c r="F165" s="70" t="s">
        <v>191</v>
      </c>
      <c r="G165" s="70" t="s">
        <v>164</v>
      </c>
      <c r="H165" s="70"/>
    </row>
    <row r="166" spans="1:8" x14ac:dyDescent="0.25">
      <c r="A166" s="70" t="s">
        <v>2763</v>
      </c>
      <c r="B166" s="70" t="s">
        <v>157</v>
      </c>
      <c r="C166" s="70" t="s">
        <v>2775</v>
      </c>
      <c r="D166" s="71" t="s">
        <v>234</v>
      </c>
      <c r="E166" s="70" t="s">
        <v>1077</v>
      </c>
      <c r="F166" s="70" t="s">
        <v>191</v>
      </c>
      <c r="G166" s="70" t="s">
        <v>164</v>
      </c>
      <c r="H166" s="70"/>
    </row>
    <row r="167" spans="1:8" x14ac:dyDescent="0.25">
      <c r="A167" s="70" t="s">
        <v>2764</v>
      </c>
      <c r="B167" s="70" t="s">
        <v>157</v>
      </c>
      <c r="C167" s="70" t="s">
        <v>2776</v>
      </c>
      <c r="D167" s="71" t="s">
        <v>234</v>
      </c>
      <c r="E167" s="70" t="s">
        <v>1077</v>
      </c>
      <c r="F167" s="70" t="s">
        <v>191</v>
      </c>
      <c r="G167" s="70" t="s">
        <v>164</v>
      </c>
      <c r="H167" s="70"/>
    </row>
    <row r="168" spans="1:8" x14ac:dyDescent="0.25">
      <c r="A168" s="70" t="s">
        <v>2765</v>
      </c>
      <c r="B168" s="70" t="s">
        <v>157</v>
      </c>
      <c r="C168" s="70" t="s">
        <v>2785</v>
      </c>
      <c r="D168" s="71" t="s">
        <v>234</v>
      </c>
      <c r="E168" s="70" t="s">
        <v>1077</v>
      </c>
      <c r="F168" s="70" t="s">
        <v>191</v>
      </c>
      <c r="G168" s="70" t="s">
        <v>164</v>
      </c>
      <c r="H168" s="70"/>
    </row>
    <row r="169" spans="1:8" x14ac:dyDescent="0.25">
      <c r="A169" s="70" t="s">
        <v>2766</v>
      </c>
      <c r="B169" s="70" t="s">
        <v>157</v>
      </c>
      <c r="C169" s="70" t="s">
        <v>2777</v>
      </c>
      <c r="D169" s="71" t="s">
        <v>281</v>
      </c>
      <c r="E169" s="70" t="s">
        <v>242</v>
      </c>
      <c r="F169" s="70" t="s">
        <v>191</v>
      </c>
      <c r="G169" s="70" t="s">
        <v>164</v>
      </c>
      <c r="H169" s="70"/>
    </row>
    <row r="170" spans="1:8" x14ac:dyDescent="0.25">
      <c r="A170" s="70" t="s">
        <v>2767</v>
      </c>
      <c r="B170" s="70" t="s">
        <v>157</v>
      </c>
      <c r="C170" s="70" t="s">
        <v>2786</v>
      </c>
      <c r="D170" s="71" t="s">
        <v>281</v>
      </c>
      <c r="E170" s="70" t="s">
        <v>242</v>
      </c>
      <c r="F170" s="70" t="s">
        <v>191</v>
      </c>
      <c r="G170" s="70" t="s">
        <v>164</v>
      </c>
      <c r="H170" s="70"/>
    </row>
    <row r="171" spans="1:8" x14ac:dyDescent="0.25">
      <c r="A171" s="70" t="s">
        <v>2768</v>
      </c>
      <c r="B171" s="70" t="s">
        <v>157</v>
      </c>
      <c r="C171" s="70" t="s">
        <v>2778</v>
      </c>
      <c r="D171" s="71" t="s">
        <v>233</v>
      </c>
      <c r="E171" s="70" t="s">
        <v>1044</v>
      </c>
      <c r="F171" s="70" t="s">
        <v>200</v>
      </c>
      <c r="G171" s="70" t="s">
        <v>164</v>
      </c>
      <c r="H171" s="70"/>
    </row>
    <row r="172" spans="1:8" x14ac:dyDescent="0.25">
      <c r="A172" s="70" t="s">
        <v>2769</v>
      </c>
      <c r="B172" s="70" t="s">
        <v>157</v>
      </c>
      <c r="C172" s="70" t="s">
        <v>2793</v>
      </c>
      <c r="D172" s="71" t="s">
        <v>233</v>
      </c>
      <c r="E172" s="70" t="s">
        <v>1038</v>
      </c>
      <c r="F172" s="70" t="s">
        <v>1039</v>
      </c>
      <c r="G172" s="70" t="s">
        <v>164</v>
      </c>
      <c r="H172" s="70" t="s">
        <v>283</v>
      </c>
    </row>
    <row r="173" spans="1:8" x14ac:dyDescent="0.25">
      <c r="A173" s="70" t="s">
        <v>2770</v>
      </c>
      <c r="B173" s="70" t="s">
        <v>157</v>
      </c>
      <c r="C173" s="70" t="s">
        <v>2779</v>
      </c>
      <c r="D173" s="71" t="s">
        <v>6</v>
      </c>
      <c r="E173" s="70" t="s">
        <v>2701</v>
      </c>
      <c r="F173" s="70" t="s">
        <v>199</v>
      </c>
      <c r="G173" s="70" t="s">
        <v>164</v>
      </c>
      <c r="H173" s="70" t="s">
        <v>1073</v>
      </c>
    </row>
    <row r="174" spans="1:8" x14ac:dyDescent="0.25">
      <c r="A174" s="70" t="s">
        <v>2800</v>
      </c>
      <c r="B174" s="70" t="s">
        <v>157</v>
      </c>
      <c r="C174" s="70" t="s">
        <v>2799</v>
      </c>
      <c r="D174" s="71" t="s">
        <v>233</v>
      </c>
      <c r="E174" s="70" t="s">
        <v>235</v>
      </c>
      <c r="F174" s="70" t="s">
        <v>200</v>
      </c>
      <c r="G174" s="70" t="s">
        <v>164</v>
      </c>
      <c r="H174" s="70"/>
    </row>
    <row r="175" spans="1:8" x14ac:dyDescent="0.25">
      <c r="A175" s="70" t="s">
        <v>2801</v>
      </c>
      <c r="B175" s="70" t="s">
        <v>157</v>
      </c>
      <c r="C175" s="70" t="s">
        <v>2802</v>
      </c>
      <c r="D175" s="71" t="s">
        <v>233</v>
      </c>
      <c r="E175" s="70" t="s">
        <v>235</v>
      </c>
      <c r="F175" s="70" t="s">
        <v>200</v>
      </c>
      <c r="G175" s="70" t="s">
        <v>164</v>
      </c>
      <c r="H175" s="70"/>
    </row>
    <row r="176" spans="1:8" x14ac:dyDescent="0.25">
      <c r="A176" s="70" t="s">
        <v>2803</v>
      </c>
      <c r="B176" s="70" t="s">
        <v>157</v>
      </c>
      <c r="C176" s="70" t="s">
        <v>2819</v>
      </c>
      <c r="D176" s="71" t="s">
        <v>233</v>
      </c>
      <c r="E176" s="70" t="s">
        <v>235</v>
      </c>
      <c r="F176" s="70" t="s">
        <v>191</v>
      </c>
      <c r="G176" s="70" t="s">
        <v>164</v>
      </c>
      <c r="H176" s="70"/>
    </row>
    <row r="177" spans="1:8" x14ac:dyDescent="0.25">
      <c r="A177" s="70" t="s">
        <v>2804</v>
      </c>
      <c r="B177" s="70" t="s">
        <v>157</v>
      </c>
      <c r="C177" s="70" t="s">
        <v>2827</v>
      </c>
      <c r="D177" s="71" t="s">
        <v>233</v>
      </c>
      <c r="E177" s="70" t="s">
        <v>235</v>
      </c>
      <c r="F177" s="70" t="s">
        <v>218</v>
      </c>
      <c r="G177" s="70" t="s">
        <v>164</v>
      </c>
      <c r="H177" s="70"/>
    </row>
    <row r="178" spans="1:8" x14ac:dyDescent="0.25">
      <c r="A178" s="70" t="s">
        <v>2805</v>
      </c>
      <c r="B178" s="70" t="s">
        <v>157</v>
      </c>
      <c r="C178" s="70" t="s">
        <v>2828</v>
      </c>
      <c r="D178" s="71" t="s">
        <v>233</v>
      </c>
      <c r="E178" s="70" t="s">
        <v>235</v>
      </c>
      <c r="F178" s="70" t="s">
        <v>218</v>
      </c>
      <c r="G178" s="70" t="s">
        <v>164</v>
      </c>
      <c r="H178" s="70"/>
    </row>
    <row r="179" spans="1:8" x14ac:dyDescent="0.25">
      <c r="A179" s="70" t="s">
        <v>2806</v>
      </c>
      <c r="B179" s="70" t="s">
        <v>157</v>
      </c>
      <c r="C179" s="70" t="s">
        <v>2829</v>
      </c>
      <c r="D179" s="71" t="s">
        <v>233</v>
      </c>
      <c r="E179" s="70" t="s">
        <v>235</v>
      </c>
      <c r="F179" s="70" t="s">
        <v>191</v>
      </c>
      <c r="G179" s="70" t="s">
        <v>164</v>
      </c>
      <c r="H179" s="70"/>
    </row>
    <row r="180" spans="1:8" x14ac:dyDescent="0.25">
      <c r="A180" s="70" t="s">
        <v>2807</v>
      </c>
      <c r="B180" s="70" t="s">
        <v>157</v>
      </c>
      <c r="C180" s="70" t="s">
        <v>2820</v>
      </c>
      <c r="D180" s="71" t="s">
        <v>234</v>
      </c>
      <c r="E180" s="70" t="s">
        <v>235</v>
      </c>
      <c r="F180" s="70" t="s">
        <v>191</v>
      </c>
      <c r="G180" s="70" t="s">
        <v>164</v>
      </c>
      <c r="H180" s="70" t="s">
        <v>2743</v>
      </c>
    </row>
    <row r="181" spans="1:8" x14ac:dyDescent="0.25">
      <c r="A181" s="70" t="s">
        <v>2808</v>
      </c>
      <c r="B181" s="70" t="s">
        <v>157</v>
      </c>
      <c r="C181" s="70" t="s">
        <v>2821</v>
      </c>
      <c r="D181" s="71" t="s">
        <v>234</v>
      </c>
      <c r="E181" s="70" t="s">
        <v>1076</v>
      </c>
      <c r="F181" s="70" t="s">
        <v>191</v>
      </c>
      <c r="G181" s="70" t="s">
        <v>164</v>
      </c>
      <c r="H181" s="70"/>
    </row>
    <row r="182" spans="1:8" x14ac:dyDescent="0.25">
      <c r="A182" s="70" t="s">
        <v>2809</v>
      </c>
      <c r="B182" s="70" t="s">
        <v>157</v>
      </c>
      <c r="C182" s="70" t="s">
        <v>2831</v>
      </c>
      <c r="D182" s="71" t="s">
        <v>234</v>
      </c>
      <c r="E182" s="70" t="s">
        <v>1077</v>
      </c>
      <c r="F182" s="70" t="s">
        <v>191</v>
      </c>
      <c r="G182" s="70" t="s">
        <v>164</v>
      </c>
      <c r="H182" s="70"/>
    </row>
    <row r="183" spans="1:8" x14ac:dyDescent="0.25">
      <c r="A183" s="70" t="s">
        <v>2810</v>
      </c>
      <c r="B183" s="70" t="s">
        <v>157</v>
      </c>
      <c r="C183" s="70" t="s">
        <v>2830</v>
      </c>
      <c r="D183" s="71" t="s">
        <v>234</v>
      </c>
      <c r="E183" s="70" t="s">
        <v>1077</v>
      </c>
      <c r="F183" s="70" t="s">
        <v>191</v>
      </c>
      <c r="G183" s="70" t="s">
        <v>164</v>
      </c>
      <c r="H183" s="70"/>
    </row>
    <row r="184" spans="1:8" x14ac:dyDescent="0.25">
      <c r="A184" s="70" t="s">
        <v>2811</v>
      </c>
      <c r="B184" s="70" t="s">
        <v>157</v>
      </c>
      <c r="C184" s="70" t="s">
        <v>2822</v>
      </c>
      <c r="D184" s="71" t="s">
        <v>234</v>
      </c>
      <c r="E184" s="70" t="s">
        <v>1077</v>
      </c>
      <c r="F184" s="70" t="s">
        <v>191</v>
      </c>
      <c r="G184" s="70" t="s">
        <v>164</v>
      </c>
      <c r="H184" s="70"/>
    </row>
    <row r="185" spans="1:8" x14ac:dyDescent="0.25">
      <c r="A185" s="70" t="s">
        <v>2812</v>
      </c>
      <c r="B185" s="70" t="s">
        <v>157</v>
      </c>
      <c r="C185" s="70" t="s">
        <v>2823</v>
      </c>
      <c r="D185" s="71" t="s">
        <v>234</v>
      </c>
      <c r="E185" s="70" t="s">
        <v>1077</v>
      </c>
      <c r="F185" s="70" t="s">
        <v>191</v>
      </c>
      <c r="G185" s="70" t="s">
        <v>164</v>
      </c>
      <c r="H185" s="70"/>
    </row>
    <row r="186" spans="1:8" x14ac:dyDescent="0.25">
      <c r="A186" s="70" t="s">
        <v>2813</v>
      </c>
      <c r="B186" s="70" t="s">
        <v>157</v>
      </c>
      <c r="C186" s="70" t="s">
        <v>2823</v>
      </c>
      <c r="D186" s="71" t="s">
        <v>234</v>
      </c>
      <c r="E186" s="70" t="s">
        <v>1077</v>
      </c>
      <c r="F186" s="70" t="s">
        <v>191</v>
      </c>
      <c r="G186" s="70" t="s">
        <v>164</v>
      </c>
      <c r="H186" s="70"/>
    </row>
    <row r="187" spans="1:8" x14ac:dyDescent="0.25">
      <c r="A187" s="70" t="s">
        <v>2814</v>
      </c>
      <c r="B187" s="70" t="s">
        <v>157</v>
      </c>
      <c r="C187" s="70" t="s">
        <v>2824</v>
      </c>
      <c r="D187" s="71" t="s">
        <v>281</v>
      </c>
      <c r="E187" s="70" t="s">
        <v>242</v>
      </c>
      <c r="F187" s="70" t="s">
        <v>191</v>
      </c>
      <c r="G187" s="70" t="s">
        <v>164</v>
      </c>
      <c r="H187" s="70"/>
    </row>
    <row r="188" spans="1:8" x14ac:dyDescent="0.25">
      <c r="A188" s="70" t="s">
        <v>2815</v>
      </c>
      <c r="B188" s="70" t="s">
        <v>157</v>
      </c>
      <c r="C188" s="70" t="s">
        <v>2824</v>
      </c>
      <c r="D188" s="71" t="s">
        <v>281</v>
      </c>
      <c r="E188" s="70" t="s">
        <v>242</v>
      </c>
      <c r="F188" s="70" t="s">
        <v>191</v>
      </c>
      <c r="G188" s="70" t="s">
        <v>164</v>
      </c>
      <c r="H188" s="70"/>
    </row>
    <row r="189" spans="1:8" x14ac:dyDescent="0.25">
      <c r="A189" s="70" t="s">
        <v>2816</v>
      </c>
      <c r="B189" s="70" t="s">
        <v>157</v>
      </c>
      <c r="C189" s="70" t="s">
        <v>2825</v>
      </c>
      <c r="D189" s="71" t="s">
        <v>233</v>
      </c>
      <c r="E189" s="70" t="s">
        <v>1044</v>
      </c>
      <c r="F189" s="70" t="s">
        <v>200</v>
      </c>
      <c r="G189" s="70" t="s">
        <v>164</v>
      </c>
      <c r="H189" s="70"/>
    </row>
    <row r="190" spans="1:8" x14ac:dyDescent="0.25">
      <c r="A190" s="70" t="s">
        <v>2817</v>
      </c>
      <c r="B190" s="70" t="s">
        <v>157</v>
      </c>
      <c r="C190" s="70" t="s">
        <v>2825</v>
      </c>
      <c r="D190" s="71" t="s">
        <v>233</v>
      </c>
      <c r="E190" s="70" t="s">
        <v>1038</v>
      </c>
      <c r="F190" s="70" t="s">
        <v>1039</v>
      </c>
      <c r="G190" s="70" t="s">
        <v>164</v>
      </c>
      <c r="H190" s="70" t="s">
        <v>283</v>
      </c>
    </row>
    <row r="191" spans="1:8" x14ac:dyDescent="0.25">
      <c r="A191" s="70" t="s">
        <v>2818</v>
      </c>
      <c r="B191" s="70" t="s">
        <v>157</v>
      </c>
      <c r="C191" s="70" t="s">
        <v>2826</v>
      </c>
      <c r="D191" s="71" t="s">
        <v>6</v>
      </c>
      <c r="E191" s="70" t="s">
        <v>2832</v>
      </c>
      <c r="F191" s="70" t="s">
        <v>199</v>
      </c>
      <c r="G191" s="70" t="s">
        <v>164</v>
      </c>
      <c r="H191" s="70" t="s">
        <v>1073</v>
      </c>
    </row>
    <row r="192" spans="1:8" x14ac:dyDescent="0.25">
      <c r="A192" s="70" t="s">
        <v>2872</v>
      </c>
      <c r="B192" s="70" t="s">
        <v>157</v>
      </c>
      <c r="C192" s="70" t="s">
        <v>2878</v>
      </c>
      <c r="D192" s="71" t="s">
        <v>233</v>
      </c>
      <c r="E192" s="70" t="s">
        <v>235</v>
      </c>
      <c r="F192" s="70" t="s">
        <v>200</v>
      </c>
      <c r="G192" s="70" t="s">
        <v>164</v>
      </c>
      <c r="H192" s="70"/>
    </row>
    <row r="193" spans="1:8" x14ac:dyDescent="0.25">
      <c r="A193" s="70" t="s">
        <v>2873</v>
      </c>
      <c r="B193" s="70" t="s">
        <v>157</v>
      </c>
      <c r="C193" s="70"/>
      <c r="D193" s="71" t="s">
        <v>233</v>
      </c>
      <c r="E193" s="70" t="s">
        <v>235</v>
      </c>
      <c r="F193" s="70" t="s">
        <v>200</v>
      </c>
      <c r="G193" s="70" t="s">
        <v>164</v>
      </c>
      <c r="H193" s="70"/>
    </row>
    <row r="194" spans="1:8" x14ac:dyDescent="0.25">
      <c r="A194" s="70" t="s">
        <v>2874</v>
      </c>
      <c r="B194" s="70" t="s">
        <v>157</v>
      </c>
      <c r="C194" s="70"/>
      <c r="D194" s="71" t="s">
        <v>233</v>
      </c>
      <c r="E194" s="70" t="s">
        <v>235</v>
      </c>
      <c r="F194" s="70" t="s">
        <v>191</v>
      </c>
      <c r="G194" s="70" t="s">
        <v>164</v>
      </c>
      <c r="H194" s="70"/>
    </row>
    <row r="195" spans="1:8" x14ac:dyDescent="0.25">
      <c r="A195" s="70" t="s">
        <v>2875</v>
      </c>
      <c r="B195" s="70" t="s">
        <v>157</v>
      </c>
      <c r="C195" s="70"/>
      <c r="D195" s="71" t="s">
        <v>233</v>
      </c>
      <c r="E195" s="70" t="s">
        <v>235</v>
      </c>
      <c r="F195" s="70" t="s">
        <v>218</v>
      </c>
      <c r="G195" s="70" t="s">
        <v>164</v>
      </c>
      <c r="H195" s="70"/>
    </row>
    <row r="196" spans="1:8" x14ac:dyDescent="0.25">
      <c r="A196" s="70" t="s">
        <v>2876</v>
      </c>
      <c r="B196" s="70" t="s">
        <v>157</v>
      </c>
      <c r="C196" s="70"/>
      <c r="D196" s="71" t="s">
        <v>233</v>
      </c>
      <c r="E196" s="70" t="s">
        <v>235</v>
      </c>
      <c r="F196" s="70" t="s">
        <v>218</v>
      </c>
      <c r="G196" s="70" t="s">
        <v>164</v>
      </c>
      <c r="H196" s="70"/>
    </row>
    <row r="197" spans="1:8" x14ac:dyDescent="0.25">
      <c r="A197" s="70" t="s">
        <v>2877</v>
      </c>
      <c r="B197" s="70" t="s">
        <v>157</v>
      </c>
      <c r="C197" s="70"/>
      <c r="D197" s="71" t="s">
        <v>233</v>
      </c>
      <c r="E197" s="70" t="s">
        <v>235</v>
      </c>
      <c r="F197" s="70" t="s">
        <v>191</v>
      </c>
      <c r="G197" s="70" t="s">
        <v>164</v>
      </c>
      <c r="H197" s="70"/>
    </row>
    <row r="198" spans="1:8" x14ac:dyDescent="0.25">
      <c r="A198" s="70" t="s">
        <v>2879</v>
      </c>
      <c r="B198" s="70" t="s">
        <v>157</v>
      </c>
      <c r="C198" s="70"/>
      <c r="D198" s="71" t="s">
        <v>234</v>
      </c>
      <c r="E198" s="70" t="s">
        <v>235</v>
      </c>
      <c r="F198" s="70" t="s">
        <v>191</v>
      </c>
      <c r="G198" s="70" t="s">
        <v>164</v>
      </c>
      <c r="H198" s="70" t="s">
        <v>2743</v>
      </c>
    </row>
    <row r="199" spans="1:8" x14ac:dyDescent="0.25">
      <c r="A199" s="70" t="s">
        <v>2880</v>
      </c>
      <c r="B199" s="70" t="s">
        <v>157</v>
      </c>
      <c r="C199" s="70"/>
      <c r="D199" s="71" t="s">
        <v>234</v>
      </c>
      <c r="E199" s="70" t="s">
        <v>1076</v>
      </c>
      <c r="F199" s="70" t="s">
        <v>191</v>
      </c>
      <c r="G199" s="70" t="s">
        <v>164</v>
      </c>
      <c r="H199" s="70"/>
    </row>
    <row r="200" spans="1:8" x14ac:dyDescent="0.25">
      <c r="A200" s="70" t="s">
        <v>2881</v>
      </c>
      <c r="B200" s="70" t="s">
        <v>157</v>
      </c>
      <c r="C200" s="70"/>
      <c r="D200" s="71" t="s">
        <v>234</v>
      </c>
      <c r="E200" s="70" t="s">
        <v>1077</v>
      </c>
      <c r="F200" s="70" t="s">
        <v>191</v>
      </c>
      <c r="G200" s="70" t="s">
        <v>164</v>
      </c>
      <c r="H200" s="70"/>
    </row>
    <row r="201" spans="1:8" x14ac:dyDescent="0.25">
      <c r="A201" s="15" t="s">
        <v>2882</v>
      </c>
      <c r="B201" s="70" t="s">
        <v>157</v>
      </c>
      <c r="C201" s="15"/>
      <c r="D201" s="71" t="s">
        <v>234</v>
      </c>
      <c r="E201" s="70" t="s">
        <v>1077</v>
      </c>
      <c r="F201" s="70" t="s">
        <v>191</v>
      </c>
      <c r="G201" s="70" t="s">
        <v>164</v>
      </c>
      <c r="H201" s="15"/>
    </row>
    <row r="202" spans="1:8" x14ac:dyDescent="0.25">
      <c r="A202" s="15" t="s">
        <v>2883</v>
      </c>
      <c r="B202" s="70" t="s">
        <v>157</v>
      </c>
      <c r="C202" s="15"/>
      <c r="D202" s="71" t="s">
        <v>234</v>
      </c>
      <c r="E202" s="70" t="s">
        <v>1077</v>
      </c>
      <c r="F202" s="70" t="s">
        <v>191</v>
      </c>
      <c r="G202" s="70" t="s">
        <v>164</v>
      </c>
      <c r="H202" s="15"/>
    </row>
    <row r="203" spans="1:8" x14ac:dyDescent="0.25">
      <c r="A203" s="15" t="s">
        <v>2884</v>
      </c>
      <c r="B203" s="70" t="s">
        <v>157</v>
      </c>
      <c r="C203" s="15"/>
      <c r="D203" s="71" t="s">
        <v>234</v>
      </c>
      <c r="E203" s="70" t="s">
        <v>1077</v>
      </c>
      <c r="F203" s="70" t="s">
        <v>191</v>
      </c>
      <c r="G203" s="70" t="s">
        <v>164</v>
      </c>
      <c r="H203" s="15"/>
    </row>
    <row r="204" spans="1:8" x14ac:dyDescent="0.25">
      <c r="A204" s="15" t="s">
        <v>2885</v>
      </c>
      <c r="B204" s="70" t="s">
        <v>157</v>
      </c>
      <c r="C204" s="15"/>
      <c r="D204" s="71" t="s">
        <v>234</v>
      </c>
      <c r="E204" s="70" t="s">
        <v>1077</v>
      </c>
      <c r="F204" s="70" t="s">
        <v>191</v>
      </c>
      <c r="G204" s="70" t="s">
        <v>164</v>
      </c>
      <c r="H204" s="15"/>
    </row>
    <row r="205" spans="1:8" x14ac:dyDescent="0.25">
      <c r="A205" s="15" t="s">
        <v>2886</v>
      </c>
      <c r="B205" s="70" t="s">
        <v>157</v>
      </c>
      <c r="C205" s="15"/>
      <c r="D205" s="71" t="s">
        <v>281</v>
      </c>
      <c r="E205" s="70" t="s">
        <v>242</v>
      </c>
      <c r="F205" s="70" t="s">
        <v>191</v>
      </c>
      <c r="G205" s="70" t="s">
        <v>164</v>
      </c>
      <c r="H205" s="15"/>
    </row>
    <row r="206" spans="1:8" x14ac:dyDescent="0.25">
      <c r="A206" s="15" t="s">
        <v>2887</v>
      </c>
      <c r="B206" s="70" t="s">
        <v>157</v>
      </c>
      <c r="C206" s="15"/>
      <c r="D206" s="71" t="s">
        <v>281</v>
      </c>
      <c r="E206" s="70" t="s">
        <v>242</v>
      </c>
      <c r="F206" s="70" t="s">
        <v>191</v>
      </c>
      <c r="G206" s="70" t="s">
        <v>164</v>
      </c>
      <c r="H206" s="15"/>
    </row>
    <row r="207" spans="1:8" x14ac:dyDescent="0.25">
      <c r="A207" s="15" t="s">
        <v>2888</v>
      </c>
      <c r="B207" s="70" t="s">
        <v>157</v>
      </c>
      <c r="C207" s="15"/>
      <c r="D207" s="71" t="s">
        <v>233</v>
      </c>
      <c r="E207" s="70" t="s">
        <v>1044</v>
      </c>
      <c r="F207" s="70" t="s">
        <v>200</v>
      </c>
      <c r="G207" s="70" t="s">
        <v>164</v>
      </c>
      <c r="H207" s="15"/>
    </row>
    <row r="208" spans="1:8" x14ac:dyDescent="0.25">
      <c r="A208" s="15" t="s">
        <v>2889</v>
      </c>
      <c r="B208" s="70" t="s">
        <v>157</v>
      </c>
      <c r="C208" s="15"/>
      <c r="D208" s="71" t="s">
        <v>233</v>
      </c>
      <c r="E208" s="70" t="s">
        <v>1038</v>
      </c>
      <c r="F208" s="70" t="s">
        <v>1039</v>
      </c>
      <c r="G208" s="15" t="s">
        <v>164</v>
      </c>
      <c r="H208" s="70" t="s">
        <v>283</v>
      </c>
    </row>
    <row r="209" spans="1:8" x14ac:dyDescent="0.25">
      <c r="A209" s="15" t="s">
        <v>2890</v>
      </c>
      <c r="B209" s="70" t="s">
        <v>157</v>
      </c>
      <c r="C209" s="15"/>
      <c r="D209" s="71" t="s">
        <v>6</v>
      </c>
      <c r="E209" s="70" t="s">
        <v>2832</v>
      </c>
      <c r="F209" s="70" t="s">
        <v>199</v>
      </c>
      <c r="G209" s="15" t="s">
        <v>164</v>
      </c>
      <c r="H209" s="70" t="s">
        <v>1073</v>
      </c>
    </row>
    <row r="210" spans="1:8" x14ac:dyDescent="0.25">
      <c r="A210" s="15"/>
      <c r="B210" s="15"/>
      <c r="C210" s="15"/>
      <c r="D210" s="67"/>
      <c r="E210" s="15"/>
      <c r="F210" s="15"/>
      <c r="G210" s="15"/>
      <c r="H210" s="15"/>
    </row>
    <row r="211" spans="1:8" x14ac:dyDescent="0.25">
      <c r="A211" s="15"/>
      <c r="B211" s="15"/>
      <c r="C211" s="15"/>
      <c r="D211" s="67"/>
      <c r="E211" s="15"/>
      <c r="F211" s="15"/>
      <c r="G211" s="15"/>
      <c r="H211" s="15"/>
    </row>
    <row r="212" spans="1:8" x14ac:dyDescent="0.25">
      <c r="A212" s="15"/>
      <c r="B212" s="15"/>
      <c r="C212" s="15"/>
      <c r="D212" s="67"/>
      <c r="E212" s="15"/>
      <c r="F212" s="15"/>
      <c r="G212" s="15"/>
      <c r="H212" s="15"/>
    </row>
    <row r="213" spans="1:8" x14ac:dyDescent="0.25">
      <c r="A213" s="15"/>
      <c r="B213" s="15"/>
      <c r="C213" s="15"/>
      <c r="D213" s="67"/>
      <c r="E213" s="15"/>
      <c r="F213" s="15"/>
      <c r="G213" s="15"/>
      <c r="H213" s="15"/>
    </row>
  </sheetData>
  <mergeCells count="3">
    <mergeCell ref="A1:H1"/>
    <mergeCell ref="A2:H2"/>
    <mergeCell ref="A3:H3"/>
  </mergeCells>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InputMessage="1" showErrorMessage="1" xr:uid="{4A98F92F-59DA-4038-A591-2406CF6F9B9C}">
          <x14:formula1>
            <xm:f>Settings!$A$25:$D$25</xm:f>
          </x14:formula1>
          <xm:sqref>F117:F119 F122 F135:F138 F141 F161 F154:F158 F174:F176 F179 F210:F213 F192:F194 F197</xm:sqref>
        </x14:dataValidation>
        <x14:dataValidation type="list" allowBlank="1" showInputMessage="1" showErrorMessage="1" xr:uid="{F94C8535-BBE3-4775-9D0C-235690F81594}">
          <x14:formula1>
            <xm:f>Settings!$A$5:$F$5</xm:f>
          </x14:formula1>
          <xm:sqref>G5:G213</xm:sqref>
        </x14:dataValidation>
        <x14:dataValidation type="list" allowBlank="1" showInputMessage="1" showErrorMessage="1" xr:uid="{A3C54655-9C4A-4EBD-AAC0-79BC2DA5C2A0}">
          <x14:formula1>
            <xm:f>Settings!$A$7:$D$7</xm:f>
          </x14:formula1>
          <xm:sqref>B5:B213</xm:sqref>
        </x14:dataValidation>
        <x14:dataValidation type="list" allowBlank="1" showInputMessage="1" showErrorMessage="1" xr:uid="{C9795AB0-DD57-40F1-9F36-BEE05ABC6C94}">
          <x14:formula1>
            <xm:f>Settings!$A$9:$H$9</xm:f>
          </x14:formula1>
          <xm:sqref>D210:D213</xm:sqref>
        </x14:dataValidation>
        <x14:dataValidation type="list" allowBlank="1" showInputMessage="1" showErrorMessage="1" xr:uid="{FF248954-2183-4572-A1A0-1CD3982E22ED}">
          <x14:formula1>
            <xm:f>Settings!$A$25:$Q$25</xm:f>
          </x14:formula1>
          <xm:sqref>F5:F98 F100:F116 F120:F121 F123:F134 F139:F140 F142:F153 F159:F160 F162:F173 F177:F178 F180:F191 F195:F196 F198:F209</xm:sqref>
        </x14:dataValidation>
        <x14:dataValidation type="list" allowBlank="1" showInputMessage="1" showErrorMessage="1" xr:uid="{4BD0BD53-A148-4CF4-9602-9F08B32A99BC}">
          <x14:formula1>
            <xm:f>Settings!$A$9:$T$9</xm:f>
          </x14:formula1>
          <xm:sqref>D5:D98 D100:D209</xm:sqref>
        </x14:dataValidation>
        <x14:dataValidation type="list" allowBlank="1" showInputMessage="1" showErrorMessage="1" xr:uid="{88B42483-FB89-4D32-BF14-DC3951824B9B}">
          <x14:formula1>
            <xm:f>Settings!$A$9:$M$9</xm:f>
          </x14:formula1>
          <xm:sqref>D99</xm:sqref>
        </x14:dataValidation>
        <x14:dataValidation type="list" allowBlank="1" showInputMessage="1" showErrorMessage="1" xr:uid="{92244758-667F-4E13-9A02-D4690E066788}">
          <x14:formula1>
            <xm:f>Settings!$A$25:$E$25</xm:f>
          </x14:formula1>
          <xm:sqref>F99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8796A-4FF5-4FAA-960F-1D3FAA8995C0}">
  <dimension ref="A1:AA80"/>
  <sheetViews>
    <sheetView workbookViewId="0">
      <selection activeCell="A11" sqref="A11:C11"/>
    </sheetView>
  </sheetViews>
  <sheetFormatPr defaultRowHeight="15" x14ac:dyDescent="0.25"/>
  <cols>
    <col min="1" max="1" width="17" customWidth="1"/>
    <col min="2" max="2" width="18" customWidth="1"/>
    <col min="3" max="3" width="27" customWidth="1"/>
    <col min="4" max="4" width="16" customWidth="1"/>
    <col min="5" max="5" width="18" customWidth="1"/>
    <col min="6" max="6" width="17" customWidth="1"/>
    <col min="7" max="8" width="20" customWidth="1"/>
    <col min="9" max="9" width="14" customWidth="1"/>
    <col min="10" max="10" width="22" customWidth="1"/>
    <col min="11" max="12" width="15" customWidth="1"/>
    <col min="13" max="13" width="20" customWidth="1"/>
    <col min="14" max="14" width="11" customWidth="1"/>
    <col min="15" max="15" width="17" customWidth="1"/>
    <col min="16" max="16" width="25" customWidth="1"/>
    <col min="17" max="17" width="21" customWidth="1"/>
    <col min="18" max="19" width="17" customWidth="1"/>
    <col min="20" max="20" width="15" customWidth="1"/>
    <col min="21" max="21" width="19" customWidth="1"/>
    <col min="22" max="22" width="15" customWidth="1"/>
    <col min="23" max="23" width="14" customWidth="1"/>
    <col min="24" max="24" width="17" customWidth="1"/>
    <col min="25" max="25" width="42" customWidth="1"/>
    <col min="26" max="26" width="18" customWidth="1"/>
    <col min="27" max="27" width="36" customWidth="1"/>
  </cols>
  <sheetData>
    <row r="1" spans="1:27" x14ac:dyDescent="0.25">
      <c r="A1" s="155" t="s">
        <v>946</v>
      </c>
      <c r="B1" s="155"/>
      <c r="C1" s="155"/>
      <c r="D1" s="155"/>
      <c r="E1" s="155"/>
      <c r="F1" s="155"/>
      <c r="G1" s="155"/>
      <c r="H1" s="155"/>
      <c r="I1" s="155"/>
      <c r="J1" s="155"/>
      <c r="K1" s="155"/>
      <c r="L1" s="155"/>
      <c r="M1" s="155"/>
      <c r="N1" s="155"/>
      <c r="O1" s="155"/>
      <c r="P1" s="155"/>
      <c r="Q1" s="155"/>
      <c r="R1" s="155"/>
      <c r="S1" s="155"/>
      <c r="T1" s="155"/>
      <c r="U1" s="155"/>
      <c r="V1" s="155"/>
      <c r="W1" s="155"/>
      <c r="X1" s="155"/>
      <c r="Y1" s="155"/>
      <c r="Z1" s="155"/>
      <c r="AA1" s="155"/>
    </row>
    <row r="2" spans="1:27" ht="15.75" thickBot="1" x14ac:dyDescent="0.3">
      <c r="A2" s="156" t="s">
        <v>144</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row>
    <row r="3" spans="1:27" ht="16.5" thickTop="1" thickBot="1" x14ac:dyDescent="0.3">
      <c r="A3" s="157" t="s">
        <v>145</v>
      </c>
      <c r="B3" s="157"/>
      <c r="C3" s="157"/>
      <c r="D3" s="157"/>
      <c r="E3" s="157"/>
      <c r="F3" s="157"/>
      <c r="G3" s="157"/>
      <c r="H3" s="157"/>
      <c r="I3" s="157"/>
      <c r="J3" s="157"/>
      <c r="K3" s="157"/>
      <c r="L3" s="157"/>
      <c r="M3" s="157"/>
      <c r="N3" s="157"/>
      <c r="O3" s="157"/>
      <c r="P3" s="157"/>
      <c r="Q3" s="157"/>
      <c r="R3" s="157"/>
      <c r="S3" s="157"/>
      <c r="T3" s="157"/>
      <c r="U3" s="157"/>
      <c r="V3" s="157"/>
      <c r="W3" s="157"/>
      <c r="X3" s="157"/>
      <c r="Y3" s="157"/>
      <c r="Z3" s="157"/>
      <c r="AA3" s="157"/>
    </row>
    <row r="4" spans="1:27" ht="16.5" thickTop="1" thickBot="1" x14ac:dyDescent="0.3">
      <c r="A4" s="158" t="s">
        <v>327</v>
      </c>
      <c r="B4" s="158"/>
      <c r="C4" s="158"/>
      <c r="D4" s="158"/>
      <c r="E4" s="158" t="s">
        <v>947</v>
      </c>
      <c r="F4" s="158"/>
      <c r="G4" s="158"/>
      <c r="H4" s="158"/>
      <c r="I4" s="158" t="s">
        <v>948</v>
      </c>
      <c r="J4" s="158"/>
      <c r="K4" s="158"/>
      <c r="L4" s="158"/>
      <c r="M4" s="158"/>
      <c r="N4" s="158" t="s">
        <v>949</v>
      </c>
      <c r="O4" s="158"/>
      <c r="P4" s="158"/>
      <c r="Q4" s="158" t="s">
        <v>950</v>
      </c>
      <c r="R4" s="158"/>
      <c r="S4" s="158"/>
      <c r="T4" s="158"/>
      <c r="U4" s="158"/>
      <c r="V4" s="158" t="s">
        <v>951</v>
      </c>
      <c r="W4" s="158"/>
      <c r="X4" s="158"/>
      <c r="Y4" s="158" t="s">
        <v>952</v>
      </c>
      <c r="Z4" s="158"/>
      <c r="AA4" s="158"/>
    </row>
    <row r="5" spans="1:27" ht="42" customHeight="1" thickTop="1" x14ac:dyDescent="0.25">
      <c r="A5" s="62" t="s">
        <v>369</v>
      </c>
      <c r="B5" s="62" t="s">
        <v>329</v>
      </c>
      <c r="C5" s="62" t="s">
        <v>317</v>
      </c>
      <c r="D5" s="62" t="s">
        <v>953</v>
      </c>
      <c r="E5" s="62" t="s">
        <v>954</v>
      </c>
      <c r="F5" s="62" t="s">
        <v>955</v>
      </c>
      <c r="G5" s="62" t="s">
        <v>956</v>
      </c>
      <c r="H5" s="62" t="s">
        <v>957</v>
      </c>
      <c r="I5" s="62" t="s">
        <v>958</v>
      </c>
      <c r="J5" s="62" t="s">
        <v>959</v>
      </c>
      <c r="K5" s="62" t="s">
        <v>960</v>
      </c>
      <c r="L5" s="62" t="s">
        <v>961</v>
      </c>
      <c r="M5" s="62" t="s">
        <v>962</v>
      </c>
      <c r="N5" s="62" t="s">
        <v>963</v>
      </c>
      <c r="O5" s="62" t="s">
        <v>964</v>
      </c>
      <c r="P5" s="62" t="s">
        <v>965</v>
      </c>
      <c r="Q5" s="62" t="s">
        <v>966</v>
      </c>
      <c r="R5" s="62" t="s">
        <v>967</v>
      </c>
      <c r="S5" s="62" t="s">
        <v>968</v>
      </c>
      <c r="T5" s="62" t="s">
        <v>969</v>
      </c>
      <c r="U5" s="62" t="s">
        <v>970</v>
      </c>
      <c r="V5" s="62" t="s">
        <v>971</v>
      </c>
      <c r="W5" s="62" t="s">
        <v>972</v>
      </c>
      <c r="X5" s="62" t="s">
        <v>973</v>
      </c>
      <c r="Y5" s="62" t="s">
        <v>974</v>
      </c>
      <c r="Z5" s="62" t="s">
        <v>975</v>
      </c>
      <c r="AA5" s="62" t="s">
        <v>976</v>
      </c>
    </row>
    <row r="6" spans="1:27" x14ac:dyDescent="0.25">
      <c r="A6" s="63" t="s">
        <v>230</v>
      </c>
      <c r="B6" s="63" t="s">
        <v>156</v>
      </c>
      <c r="C6" s="63"/>
      <c r="D6" s="63"/>
      <c r="E6" s="63"/>
      <c r="F6" s="63"/>
      <c r="G6" s="63"/>
      <c r="H6" s="63"/>
      <c r="I6" s="63"/>
      <c r="J6" s="63"/>
      <c r="K6" s="63"/>
      <c r="L6" s="63"/>
      <c r="M6" s="63"/>
      <c r="N6" s="63"/>
      <c r="O6" s="63"/>
      <c r="P6" s="63"/>
      <c r="Q6" s="63"/>
      <c r="R6" s="63"/>
      <c r="S6" s="63"/>
      <c r="T6" s="63"/>
      <c r="U6" s="63"/>
      <c r="V6" s="63"/>
      <c r="W6" s="63"/>
      <c r="X6" s="63"/>
      <c r="Y6" s="64"/>
      <c r="Z6" s="63" t="s">
        <v>977</v>
      </c>
      <c r="AA6" s="64"/>
    </row>
    <row r="7" spans="1:27" x14ac:dyDescent="0.25">
      <c r="A7" s="63" t="s">
        <v>232</v>
      </c>
      <c r="B7" s="63" t="s">
        <v>62</v>
      </c>
      <c r="C7" s="63"/>
      <c r="D7" s="63"/>
      <c r="E7" s="63"/>
      <c r="F7" s="63"/>
      <c r="G7" s="63"/>
      <c r="H7" s="63"/>
      <c r="I7" s="63"/>
      <c r="J7" s="63"/>
      <c r="K7" s="63"/>
      <c r="L7" s="63"/>
      <c r="M7" s="63"/>
      <c r="N7" s="63"/>
      <c r="O7" s="63"/>
      <c r="P7" s="63"/>
      <c r="Q7" s="63"/>
      <c r="R7" s="63"/>
      <c r="S7" s="63"/>
      <c r="T7" s="63"/>
      <c r="U7" s="63"/>
      <c r="V7" s="63"/>
      <c r="W7" s="63"/>
      <c r="X7" s="63"/>
      <c r="Y7" s="64"/>
      <c r="Z7" s="63" t="s">
        <v>977</v>
      </c>
      <c r="AA7" s="64"/>
    </row>
    <row r="8" spans="1:27" x14ac:dyDescent="0.25">
      <c r="A8" s="63"/>
      <c r="B8" s="63" t="s">
        <v>228</v>
      </c>
      <c r="C8" s="63"/>
      <c r="D8" s="63"/>
      <c r="E8" s="63"/>
      <c r="F8" s="63"/>
      <c r="G8" s="63"/>
      <c r="H8" s="63"/>
      <c r="I8" s="63"/>
      <c r="J8" s="63"/>
      <c r="K8" s="63"/>
      <c r="L8" s="63"/>
      <c r="M8" s="63"/>
      <c r="N8" s="63"/>
      <c r="O8" s="63"/>
      <c r="P8" s="63"/>
      <c r="Q8" s="63"/>
      <c r="R8" s="63"/>
      <c r="S8" s="63"/>
      <c r="T8" s="63"/>
      <c r="U8" s="63"/>
      <c r="V8" s="63"/>
      <c r="W8" s="63"/>
      <c r="X8" s="63"/>
      <c r="Y8" s="64"/>
      <c r="Z8" s="63" t="s">
        <v>977</v>
      </c>
      <c r="AA8" s="64"/>
    </row>
    <row r="9" spans="1:27" x14ac:dyDescent="0.25">
      <c r="A9" s="63" t="s">
        <v>640</v>
      </c>
      <c r="B9" s="63" t="s">
        <v>289</v>
      </c>
      <c r="C9" s="63" t="s">
        <v>641</v>
      </c>
      <c r="D9" s="63"/>
      <c r="E9" s="63"/>
      <c r="F9" s="63"/>
      <c r="G9" s="63"/>
      <c r="H9" s="63"/>
      <c r="I9" s="63"/>
      <c r="J9" s="63"/>
      <c r="K9" s="63"/>
      <c r="L9" s="63"/>
      <c r="M9" s="63"/>
      <c r="N9" s="63"/>
      <c r="O9" s="63"/>
      <c r="P9" s="63"/>
      <c r="Q9" s="63"/>
      <c r="R9" s="63"/>
      <c r="S9" s="63"/>
      <c r="T9" s="63"/>
      <c r="U9" s="63"/>
      <c r="V9" s="63"/>
      <c r="W9" s="63"/>
      <c r="X9" s="63"/>
      <c r="Y9" s="64"/>
      <c r="Z9" s="63" t="s">
        <v>977</v>
      </c>
      <c r="AA9" s="64"/>
    </row>
    <row r="10" spans="1:27" x14ac:dyDescent="0.25">
      <c r="A10" s="63" t="s">
        <v>978</v>
      </c>
      <c r="B10" s="63" t="s">
        <v>286</v>
      </c>
      <c r="C10" s="63" t="s">
        <v>979</v>
      </c>
      <c r="D10" s="63"/>
      <c r="E10" s="63"/>
      <c r="F10" s="63"/>
      <c r="G10" s="63"/>
      <c r="H10" s="63"/>
      <c r="I10" s="63"/>
      <c r="J10" s="63"/>
      <c r="K10" s="63"/>
      <c r="L10" s="63"/>
      <c r="M10" s="63"/>
      <c r="N10" s="63"/>
      <c r="O10" s="63"/>
      <c r="P10" s="63"/>
      <c r="Q10" s="63"/>
      <c r="R10" s="63"/>
      <c r="S10" s="63"/>
      <c r="T10" s="63"/>
      <c r="U10" s="63"/>
      <c r="V10" s="63"/>
      <c r="W10" s="63"/>
      <c r="X10" s="63"/>
      <c r="Y10" s="64"/>
      <c r="Z10" s="63" t="s">
        <v>977</v>
      </c>
      <c r="AA10" s="64"/>
    </row>
    <row r="11" spans="1:27" x14ac:dyDescent="0.25">
      <c r="A11" s="65" t="s">
        <v>413</v>
      </c>
      <c r="B11" s="65" t="s">
        <v>287</v>
      </c>
      <c r="C11" s="65" t="s">
        <v>1029</v>
      </c>
      <c r="D11" s="65"/>
      <c r="E11" s="65"/>
      <c r="F11" s="65"/>
      <c r="G11" s="65"/>
      <c r="H11" s="65"/>
      <c r="I11" s="65"/>
      <c r="J11" s="65"/>
      <c r="K11" s="65"/>
      <c r="L11" s="65"/>
      <c r="M11" s="65"/>
      <c r="N11" s="65"/>
      <c r="O11" s="65"/>
      <c r="P11" s="65"/>
      <c r="Q11" s="65"/>
      <c r="R11" s="65"/>
      <c r="S11" s="65"/>
      <c r="T11" s="65"/>
      <c r="U11" s="65"/>
      <c r="V11" s="65"/>
      <c r="W11" s="65"/>
      <c r="X11" s="65"/>
      <c r="Y11" s="66"/>
      <c r="Z11" s="65"/>
      <c r="AA11" s="66"/>
    </row>
    <row r="12" spans="1:27" x14ac:dyDescent="0.25">
      <c r="A12" s="63"/>
      <c r="B12" s="63"/>
      <c r="C12" s="63"/>
      <c r="D12" s="63"/>
      <c r="E12" s="63"/>
      <c r="F12" s="63"/>
      <c r="G12" s="63"/>
      <c r="H12" s="63"/>
      <c r="I12" s="63"/>
      <c r="J12" s="63"/>
      <c r="K12" s="63"/>
      <c r="L12" s="63"/>
      <c r="M12" s="63"/>
      <c r="N12" s="63"/>
      <c r="O12" s="63"/>
      <c r="P12" s="63"/>
      <c r="Q12" s="63"/>
      <c r="R12" s="63"/>
      <c r="S12" s="63"/>
      <c r="T12" s="63"/>
      <c r="U12" s="63"/>
      <c r="V12" s="63"/>
      <c r="W12" s="63"/>
      <c r="X12" s="63"/>
      <c r="Y12" s="64"/>
      <c r="Z12" s="63"/>
      <c r="AA12" s="64"/>
    </row>
    <row r="13" spans="1:27" x14ac:dyDescent="0.25">
      <c r="A13" s="63"/>
      <c r="B13" s="63"/>
      <c r="C13" s="63"/>
      <c r="D13" s="63"/>
      <c r="E13" s="63"/>
      <c r="F13" s="63"/>
      <c r="G13" s="63"/>
      <c r="H13" s="63"/>
      <c r="I13" s="63"/>
      <c r="J13" s="63"/>
      <c r="K13" s="63"/>
      <c r="L13" s="63"/>
      <c r="M13" s="63"/>
      <c r="N13" s="63"/>
      <c r="O13" s="63"/>
      <c r="P13" s="63"/>
      <c r="Q13" s="63"/>
      <c r="R13" s="63"/>
      <c r="S13" s="63"/>
      <c r="T13" s="63"/>
      <c r="U13" s="63"/>
      <c r="V13" s="63"/>
      <c r="W13" s="63"/>
      <c r="X13" s="63"/>
      <c r="Y13" s="64"/>
      <c r="Z13" s="63"/>
      <c r="AA13" s="64"/>
    </row>
    <row r="14" spans="1:27" x14ac:dyDescent="0.25">
      <c r="A14" s="63"/>
      <c r="B14" s="63"/>
      <c r="C14" s="63"/>
      <c r="D14" s="63"/>
      <c r="E14" s="63"/>
      <c r="F14" s="63"/>
      <c r="G14" s="63"/>
      <c r="H14" s="63"/>
      <c r="I14" s="63"/>
      <c r="J14" s="63"/>
      <c r="K14" s="63"/>
      <c r="L14" s="63"/>
      <c r="M14" s="63"/>
      <c r="N14" s="63"/>
      <c r="O14" s="63"/>
      <c r="P14" s="63"/>
      <c r="Q14" s="63"/>
      <c r="R14" s="63"/>
      <c r="S14" s="63"/>
      <c r="T14" s="63"/>
      <c r="U14" s="63"/>
      <c r="V14" s="63"/>
      <c r="W14" s="63"/>
      <c r="X14" s="63"/>
      <c r="Y14" s="64"/>
      <c r="Z14" s="63"/>
      <c r="AA14" s="64"/>
    </row>
    <row r="15" spans="1:27" x14ac:dyDescent="0.25">
      <c r="A15" s="63"/>
      <c r="B15" s="63"/>
      <c r="C15" s="63"/>
      <c r="D15" s="63"/>
      <c r="E15" s="63"/>
      <c r="F15" s="63"/>
      <c r="G15" s="63"/>
      <c r="H15" s="63"/>
      <c r="I15" s="63"/>
      <c r="J15" s="63"/>
      <c r="K15" s="63"/>
      <c r="L15" s="63"/>
      <c r="M15" s="63"/>
      <c r="N15" s="63"/>
      <c r="O15" s="63"/>
      <c r="P15" s="63"/>
      <c r="Q15" s="63"/>
      <c r="R15" s="63"/>
      <c r="S15" s="63"/>
      <c r="T15" s="63"/>
      <c r="U15" s="63"/>
      <c r="V15" s="63"/>
      <c r="W15" s="63"/>
      <c r="X15" s="63"/>
      <c r="Y15" s="64"/>
      <c r="Z15" s="63"/>
      <c r="AA15" s="64"/>
    </row>
    <row r="16" spans="1:27" x14ac:dyDescent="0.25">
      <c r="A16" s="63"/>
      <c r="B16" s="63"/>
      <c r="C16" s="63"/>
      <c r="D16" s="63"/>
      <c r="E16" s="63"/>
      <c r="F16" s="63"/>
      <c r="G16" s="63"/>
      <c r="H16" s="63"/>
      <c r="I16" s="63"/>
      <c r="J16" s="63"/>
      <c r="K16" s="63"/>
      <c r="L16" s="63"/>
      <c r="M16" s="63"/>
      <c r="N16" s="63"/>
      <c r="O16" s="63"/>
      <c r="P16" s="63"/>
      <c r="Q16" s="63"/>
      <c r="R16" s="63"/>
      <c r="S16" s="63"/>
      <c r="T16" s="63"/>
      <c r="U16" s="63"/>
      <c r="V16" s="63"/>
      <c r="W16" s="63"/>
      <c r="X16" s="63"/>
      <c r="Y16" s="64"/>
      <c r="Z16" s="63"/>
      <c r="AA16" s="64"/>
    </row>
    <row r="17" spans="1:27" x14ac:dyDescent="0.25">
      <c r="A17" s="63"/>
      <c r="B17" s="63"/>
      <c r="C17" s="63"/>
      <c r="D17" s="63"/>
      <c r="E17" s="63"/>
      <c r="F17" s="63"/>
      <c r="G17" s="63"/>
      <c r="H17" s="63"/>
      <c r="I17" s="63"/>
      <c r="J17" s="63"/>
      <c r="K17" s="63"/>
      <c r="L17" s="63"/>
      <c r="M17" s="63"/>
      <c r="N17" s="63"/>
      <c r="O17" s="63"/>
      <c r="P17" s="63"/>
      <c r="Q17" s="63"/>
      <c r="R17" s="63"/>
      <c r="S17" s="63"/>
      <c r="T17" s="63"/>
      <c r="U17" s="63"/>
      <c r="V17" s="63"/>
      <c r="W17" s="63"/>
      <c r="X17" s="63"/>
      <c r="Y17" s="64"/>
      <c r="Z17" s="63"/>
      <c r="AA17" s="64"/>
    </row>
    <row r="18" spans="1:27" x14ac:dyDescent="0.25">
      <c r="A18" s="63"/>
      <c r="B18" s="63"/>
      <c r="C18" s="63"/>
      <c r="D18" s="63"/>
      <c r="E18" s="63"/>
      <c r="F18" s="63"/>
      <c r="G18" s="63"/>
      <c r="H18" s="63"/>
      <c r="I18" s="63"/>
      <c r="J18" s="63"/>
      <c r="K18" s="63"/>
      <c r="L18" s="63"/>
      <c r="M18" s="63"/>
      <c r="N18" s="63"/>
      <c r="O18" s="63"/>
      <c r="P18" s="63"/>
      <c r="Q18" s="63"/>
      <c r="R18" s="63"/>
      <c r="S18" s="63"/>
      <c r="T18" s="63"/>
      <c r="U18" s="63"/>
      <c r="V18" s="63"/>
      <c r="W18" s="63"/>
      <c r="X18" s="63"/>
      <c r="Y18" s="64"/>
      <c r="Z18" s="63"/>
      <c r="AA18" s="64"/>
    </row>
    <row r="19" spans="1:27" x14ac:dyDescent="0.25">
      <c r="A19" s="63"/>
      <c r="B19" s="63"/>
      <c r="C19" s="63"/>
      <c r="D19" s="63"/>
      <c r="E19" s="63"/>
      <c r="F19" s="63"/>
      <c r="G19" s="63"/>
      <c r="H19" s="63"/>
      <c r="I19" s="63"/>
      <c r="J19" s="63"/>
      <c r="K19" s="63"/>
      <c r="L19" s="63"/>
      <c r="M19" s="63"/>
      <c r="N19" s="63"/>
      <c r="O19" s="63"/>
      <c r="P19" s="63"/>
      <c r="Q19" s="63"/>
      <c r="R19" s="63"/>
      <c r="S19" s="63"/>
      <c r="T19" s="63"/>
      <c r="U19" s="63"/>
      <c r="V19" s="63"/>
      <c r="W19" s="63"/>
      <c r="X19" s="63"/>
      <c r="Y19" s="64"/>
      <c r="Z19" s="63"/>
      <c r="AA19" s="64"/>
    </row>
    <row r="20" spans="1:27" x14ac:dyDescent="0.25">
      <c r="A20" s="63"/>
      <c r="B20" s="63"/>
      <c r="C20" s="63"/>
      <c r="D20" s="63"/>
      <c r="E20" s="63"/>
      <c r="F20" s="63"/>
      <c r="G20" s="63"/>
      <c r="H20" s="63"/>
      <c r="I20" s="63"/>
      <c r="J20" s="63"/>
      <c r="K20" s="63"/>
      <c r="L20" s="63"/>
      <c r="M20" s="63"/>
      <c r="N20" s="63"/>
      <c r="O20" s="63"/>
      <c r="P20" s="63"/>
      <c r="Q20" s="63"/>
      <c r="R20" s="63"/>
      <c r="S20" s="63"/>
      <c r="T20" s="63"/>
      <c r="U20" s="63"/>
      <c r="V20" s="63"/>
      <c r="W20" s="63"/>
      <c r="X20" s="63"/>
      <c r="Y20" s="64"/>
      <c r="Z20" s="63"/>
      <c r="AA20" s="64"/>
    </row>
    <row r="21" spans="1:27" x14ac:dyDescent="0.25">
      <c r="A21" s="63"/>
      <c r="B21" s="63"/>
      <c r="C21" s="63"/>
      <c r="D21" s="63"/>
      <c r="E21" s="63"/>
      <c r="F21" s="63"/>
      <c r="G21" s="63"/>
      <c r="H21" s="63"/>
      <c r="I21" s="63"/>
      <c r="J21" s="63"/>
      <c r="K21" s="63"/>
      <c r="L21" s="63"/>
      <c r="M21" s="63"/>
      <c r="N21" s="63"/>
      <c r="O21" s="63"/>
      <c r="P21" s="63"/>
      <c r="Q21" s="63"/>
      <c r="R21" s="63"/>
      <c r="S21" s="63"/>
      <c r="T21" s="63"/>
      <c r="U21" s="63"/>
      <c r="V21" s="63"/>
      <c r="W21" s="63"/>
      <c r="X21" s="63"/>
      <c r="Y21" s="64"/>
      <c r="Z21" s="63"/>
      <c r="AA21" s="64"/>
    </row>
    <row r="22" spans="1:27" x14ac:dyDescent="0.25">
      <c r="A22" s="63"/>
      <c r="B22" s="63"/>
      <c r="C22" s="63"/>
      <c r="D22" s="63"/>
      <c r="E22" s="63"/>
      <c r="F22" s="63"/>
      <c r="G22" s="63"/>
      <c r="H22" s="63"/>
      <c r="I22" s="63"/>
      <c r="J22" s="63"/>
      <c r="K22" s="63"/>
      <c r="L22" s="63"/>
      <c r="M22" s="63"/>
      <c r="N22" s="63"/>
      <c r="O22" s="63"/>
      <c r="P22" s="63"/>
      <c r="Q22" s="63"/>
      <c r="R22" s="63"/>
      <c r="S22" s="63"/>
      <c r="T22" s="63"/>
      <c r="U22" s="63"/>
      <c r="V22" s="63"/>
      <c r="W22" s="63"/>
      <c r="X22" s="63"/>
      <c r="Y22" s="64"/>
      <c r="Z22" s="63"/>
      <c r="AA22" s="64"/>
    </row>
    <row r="23" spans="1:27" x14ac:dyDescent="0.25">
      <c r="A23" s="63"/>
      <c r="B23" s="63"/>
      <c r="C23" s="63"/>
      <c r="D23" s="63"/>
      <c r="E23" s="63"/>
      <c r="F23" s="63"/>
      <c r="G23" s="63"/>
      <c r="H23" s="63"/>
      <c r="I23" s="63"/>
      <c r="J23" s="63"/>
      <c r="K23" s="63"/>
      <c r="L23" s="63"/>
      <c r="M23" s="63"/>
      <c r="N23" s="63"/>
      <c r="O23" s="63"/>
      <c r="P23" s="63"/>
      <c r="Q23" s="63"/>
      <c r="R23" s="63"/>
      <c r="S23" s="63"/>
      <c r="T23" s="63"/>
      <c r="U23" s="63"/>
      <c r="V23" s="63"/>
      <c r="W23" s="63"/>
      <c r="X23" s="63"/>
      <c r="Y23" s="64"/>
      <c r="Z23" s="63"/>
      <c r="AA23" s="64"/>
    </row>
    <row r="24" spans="1:27" x14ac:dyDescent="0.25">
      <c r="A24" s="63"/>
      <c r="B24" s="63"/>
      <c r="C24" s="63"/>
      <c r="D24" s="63"/>
      <c r="E24" s="63"/>
      <c r="F24" s="63"/>
      <c r="G24" s="63"/>
      <c r="H24" s="63"/>
      <c r="I24" s="63"/>
      <c r="J24" s="63"/>
      <c r="K24" s="63"/>
      <c r="L24" s="63"/>
      <c r="M24" s="63"/>
      <c r="N24" s="63"/>
      <c r="O24" s="63"/>
      <c r="P24" s="63"/>
      <c r="Q24" s="63"/>
      <c r="R24" s="63"/>
      <c r="S24" s="63"/>
      <c r="T24" s="63"/>
      <c r="U24" s="63"/>
      <c r="V24" s="63"/>
      <c r="W24" s="63"/>
      <c r="X24" s="63"/>
      <c r="Y24" s="64"/>
      <c r="Z24" s="63"/>
      <c r="AA24" s="64"/>
    </row>
    <row r="25" spans="1:27" x14ac:dyDescent="0.25">
      <c r="A25" s="63"/>
      <c r="B25" s="63"/>
      <c r="C25" s="63"/>
      <c r="D25" s="63"/>
      <c r="E25" s="63"/>
      <c r="F25" s="63"/>
      <c r="G25" s="63"/>
      <c r="H25" s="63"/>
      <c r="I25" s="63"/>
      <c r="J25" s="63"/>
      <c r="K25" s="63"/>
      <c r="L25" s="63"/>
      <c r="M25" s="63"/>
      <c r="N25" s="63"/>
      <c r="O25" s="63"/>
      <c r="P25" s="63"/>
      <c r="Q25" s="63"/>
      <c r="R25" s="63"/>
      <c r="S25" s="63"/>
      <c r="T25" s="63"/>
      <c r="U25" s="63"/>
      <c r="V25" s="63"/>
      <c r="W25" s="63"/>
      <c r="X25" s="63"/>
      <c r="Y25" s="64"/>
      <c r="Z25" s="63"/>
      <c r="AA25" s="64"/>
    </row>
    <row r="26" spans="1:27" x14ac:dyDescent="0.25">
      <c r="A26" s="63"/>
      <c r="B26" s="63"/>
      <c r="C26" s="63"/>
      <c r="D26" s="63"/>
      <c r="E26" s="63"/>
      <c r="F26" s="63"/>
      <c r="G26" s="63"/>
      <c r="H26" s="63"/>
      <c r="I26" s="63"/>
      <c r="J26" s="63"/>
      <c r="K26" s="63"/>
      <c r="L26" s="63"/>
      <c r="M26" s="63"/>
      <c r="N26" s="63"/>
      <c r="O26" s="63"/>
      <c r="P26" s="63"/>
      <c r="Q26" s="63"/>
      <c r="R26" s="63"/>
      <c r="S26" s="63"/>
      <c r="T26" s="63"/>
      <c r="U26" s="63"/>
      <c r="V26" s="63"/>
      <c r="W26" s="63"/>
      <c r="X26" s="63"/>
      <c r="Y26" s="64"/>
      <c r="Z26" s="63"/>
      <c r="AA26" s="64"/>
    </row>
    <row r="27" spans="1:27" x14ac:dyDescent="0.25">
      <c r="A27" s="63"/>
      <c r="B27" s="63"/>
      <c r="C27" s="63"/>
      <c r="D27" s="63"/>
      <c r="E27" s="63"/>
      <c r="F27" s="63"/>
      <c r="G27" s="63"/>
      <c r="H27" s="63"/>
      <c r="I27" s="63"/>
      <c r="J27" s="63"/>
      <c r="K27" s="63"/>
      <c r="L27" s="63"/>
      <c r="M27" s="63"/>
      <c r="N27" s="63"/>
      <c r="O27" s="63"/>
      <c r="P27" s="63"/>
      <c r="Q27" s="63"/>
      <c r="R27" s="63"/>
      <c r="S27" s="63"/>
      <c r="T27" s="63"/>
      <c r="U27" s="63"/>
      <c r="V27" s="63"/>
      <c r="W27" s="63"/>
      <c r="X27" s="63"/>
      <c r="Y27" s="64"/>
      <c r="Z27" s="63"/>
      <c r="AA27" s="64"/>
    </row>
    <row r="28" spans="1:27" x14ac:dyDescent="0.25">
      <c r="A28" s="63"/>
      <c r="B28" s="63"/>
      <c r="C28" s="63"/>
      <c r="D28" s="63"/>
      <c r="E28" s="63"/>
      <c r="F28" s="63"/>
      <c r="G28" s="63"/>
      <c r="H28" s="63"/>
      <c r="I28" s="63"/>
      <c r="J28" s="63"/>
      <c r="K28" s="63"/>
      <c r="L28" s="63"/>
      <c r="M28" s="63"/>
      <c r="N28" s="63"/>
      <c r="O28" s="63"/>
      <c r="P28" s="63"/>
      <c r="Q28" s="63"/>
      <c r="R28" s="63"/>
      <c r="S28" s="63"/>
      <c r="T28" s="63"/>
      <c r="U28" s="63"/>
      <c r="V28" s="63"/>
      <c r="W28" s="63"/>
      <c r="X28" s="63"/>
      <c r="Y28" s="64"/>
      <c r="Z28" s="63"/>
      <c r="AA28" s="64"/>
    </row>
    <row r="29" spans="1:27" x14ac:dyDescent="0.25">
      <c r="A29" s="63"/>
      <c r="B29" s="63"/>
      <c r="C29" s="63"/>
      <c r="D29" s="63"/>
      <c r="E29" s="63"/>
      <c r="F29" s="63"/>
      <c r="G29" s="63"/>
      <c r="H29" s="63"/>
      <c r="I29" s="63"/>
      <c r="J29" s="63"/>
      <c r="K29" s="63"/>
      <c r="L29" s="63"/>
      <c r="M29" s="63"/>
      <c r="N29" s="63"/>
      <c r="O29" s="63"/>
      <c r="P29" s="63"/>
      <c r="Q29" s="63"/>
      <c r="R29" s="63"/>
      <c r="S29" s="63"/>
      <c r="T29" s="63"/>
      <c r="U29" s="63"/>
      <c r="V29" s="63"/>
      <c r="W29" s="63"/>
      <c r="X29" s="63"/>
      <c r="Y29" s="64"/>
      <c r="Z29" s="63"/>
      <c r="AA29" s="64"/>
    </row>
    <row r="30" spans="1:27" x14ac:dyDescent="0.25">
      <c r="A30" s="63"/>
      <c r="B30" s="63"/>
      <c r="C30" s="63"/>
      <c r="D30" s="63"/>
      <c r="E30" s="63"/>
      <c r="F30" s="63"/>
      <c r="G30" s="63"/>
      <c r="H30" s="63"/>
      <c r="I30" s="63"/>
      <c r="J30" s="63"/>
      <c r="K30" s="63"/>
      <c r="L30" s="63"/>
      <c r="M30" s="63"/>
      <c r="N30" s="63"/>
      <c r="O30" s="63"/>
      <c r="P30" s="63"/>
      <c r="Q30" s="63"/>
      <c r="R30" s="63"/>
      <c r="S30" s="63"/>
      <c r="T30" s="63"/>
      <c r="U30" s="63"/>
      <c r="V30" s="63"/>
      <c r="W30" s="63"/>
      <c r="X30" s="63"/>
      <c r="Y30" s="64"/>
      <c r="Z30" s="63"/>
      <c r="AA30" s="64"/>
    </row>
    <row r="31" spans="1:27" x14ac:dyDescent="0.25">
      <c r="A31" s="63"/>
      <c r="B31" s="63"/>
      <c r="C31" s="63"/>
      <c r="D31" s="63"/>
      <c r="E31" s="63"/>
      <c r="F31" s="63"/>
      <c r="G31" s="63"/>
      <c r="H31" s="63"/>
      <c r="I31" s="63"/>
      <c r="J31" s="63"/>
      <c r="K31" s="63"/>
      <c r="L31" s="63"/>
      <c r="M31" s="63"/>
      <c r="N31" s="63"/>
      <c r="O31" s="63"/>
      <c r="P31" s="63"/>
      <c r="Q31" s="63"/>
      <c r="R31" s="63"/>
      <c r="S31" s="63"/>
      <c r="T31" s="63"/>
      <c r="U31" s="63"/>
      <c r="V31" s="63"/>
      <c r="W31" s="63"/>
      <c r="X31" s="63"/>
      <c r="Y31" s="64"/>
      <c r="Z31" s="63"/>
      <c r="AA31" s="64"/>
    </row>
    <row r="32" spans="1:27" x14ac:dyDescent="0.25">
      <c r="A32" s="63"/>
      <c r="B32" s="63"/>
      <c r="C32" s="63"/>
      <c r="D32" s="63"/>
      <c r="E32" s="63"/>
      <c r="F32" s="63"/>
      <c r="G32" s="63"/>
      <c r="H32" s="63"/>
      <c r="I32" s="63"/>
      <c r="J32" s="63"/>
      <c r="K32" s="63"/>
      <c r="L32" s="63"/>
      <c r="M32" s="63"/>
      <c r="N32" s="63"/>
      <c r="O32" s="63"/>
      <c r="P32" s="63"/>
      <c r="Q32" s="63"/>
      <c r="R32" s="63"/>
      <c r="S32" s="63"/>
      <c r="T32" s="63"/>
      <c r="U32" s="63"/>
      <c r="V32" s="63"/>
      <c r="W32" s="63"/>
      <c r="X32" s="63"/>
      <c r="Y32" s="64"/>
      <c r="Z32" s="63"/>
      <c r="AA32" s="64"/>
    </row>
    <row r="33" spans="1:27" x14ac:dyDescent="0.25">
      <c r="A33" s="63"/>
      <c r="B33" s="63"/>
      <c r="C33" s="63"/>
      <c r="D33" s="63"/>
      <c r="E33" s="63"/>
      <c r="F33" s="63"/>
      <c r="G33" s="63"/>
      <c r="H33" s="63"/>
      <c r="I33" s="63"/>
      <c r="J33" s="63"/>
      <c r="K33" s="63"/>
      <c r="L33" s="63"/>
      <c r="M33" s="63"/>
      <c r="N33" s="63"/>
      <c r="O33" s="63"/>
      <c r="P33" s="63"/>
      <c r="Q33" s="63"/>
      <c r="R33" s="63"/>
      <c r="S33" s="63"/>
      <c r="T33" s="63"/>
      <c r="U33" s="63"/>
      <c r="V33" s="63"/>
      <c r="W33" s="63"/>
      <c r="X33" s="63"/>
      <c r="Y33" s="64"/>
      <c r="Z33" s="63"/>
      <c r="AA33" s="64"/>
    </row>
    <row r="34" spans="1:27" x14ac:dyDescent="0.25">
      <c r="A34" s="63"/>
      <c r="B34" s="63"/>
      <c r="C34" s="63"/>
      <c r="D34" s="63"/>
      <c r="E34" s="63"/>
      <c r="F34" s="63"/>
      <c r="G34" s="63"/>
      <c r="H34" s="63"/>
      <c r="I34" s="63"/>
      <c r="J34" s="63"/>
      <c r="K34" s="63"/>
      <c r="L34" s="63"/>
      <c r="M34" s="63"/>
      <c r="N34" s="63"/>
      <c r="O34" s="63"/>
      <c r="P34" s="63"/>
      <c r="Q34" s="63"/>
      <c r="R34" s="63"/>
      <c r="S34" s="63"/>
      <c r="T34" s="63"/>
      <c r="U34" s="63"/>
      <c r="V34" s="63"/>
      <c r="W34" s="63"/>
      <c r="X34" s="63"/>
      <c r="Y34" s="64"/>
      <c r="Z34" s="63"/>
      <c r="AA34" s="64"/>
    </row>
    <row r="35" spans="1:27" x14ac:dyDescent="0.25">
      <c r="A35" s="63"/>
      <c r="B35" s="63"/>
      <c r="C35" s="63"/>
      <c r="D35" s="63"/>
      <c r="E35" s="63"/>
      <c r="F35" s="63"/>
      <c r="G35" s="63"/>
      <c r="H35" s="63"/>
      <c r="I35" s="63"/>
      <c r="J35" s="63"/>
      <c r="K35" s="63"/>
      <c r="L35" s="63"/>
      <c r="M35" s="63"/>
      <c r="N35" s="63"/>
      <c r="O35" s="63"/>
      <c r="P35" s="63"/>
      <c r="Q35" s="63"/>
      <c r="R35" s="63"/>
      <c r="S35" s="63"/>
      <c r="T35" s="63"/>
      <c r="U35" s="63"/>
      <c r="V35" s="63"/>
      <c r="W35" s="63"/>
      <c r="X35" s="63"/>
      <c r="Y35" s="64"/>
      <c r="Z35" s="63"/>
      <c r="AA35" s="64"/>
    </row>
    <row r="36" spans="1:27" x14ac:dyDescent="0.25">
      <c r="A36" s="63"/>
      <c r="B36" s="63"/>
      <c r="C36" s="63"/>
      <c r="D36" s="63"/>
      <c r="E36" s="63"/>
      <c r="F36" s="63"/>
      <c r="G36" s="63"/>
      <c r="H36" s="63"/>
      <c r="I36" s="63"/>
      <c r="J36" s="63"/>
      <c r="K36" s="63"/>
      <c r="L36" s="63"/>
      <c r="M36" s="63"/>
      <c r="N36" s="63"/>
      <c r="O36" s="63"/>
      <c r="P36" s="63"/>
      <c r="Q36" s="63"/>
      <c r="R36" s="63"/>
      <c r="S36" s="63"/>
      <c r="T36" s="63"/>
      <c r="U36" s="63"/>
      <c r="V36" s="63"/>
      <c r="W36" s="63"/>
      <c r="X36" s="63"/>
      <c r="Y36" s="64"/>
      <c r="Z36" s="63"/>
      <c r="AA36" s="64"/>
    </row>
    <row r="37" spans="1:27" x14ac:dyDescent="0.25">
      <c r="A37" s="63"/>
      <c r="B37" s="63"/>
      <c r="C37" s="63"/>
      <c r="D37" s="63"/>
      <c r="E37" s="63"/>
      <c r="F37" s="63"/>
      <c r="G37" s="63"/>
      <c r="H37" s="63"/>
      <c r="I37" s="63"/>
      <c r="J37" s="63"/>
      <c r="K37" s="63"/>
      <c r="L37" s="63"/>
      <c r="M37" s="63"/>
      <c r="N37" s="63"/>
      <c r="O37" s="63"/>
      <c r="P37" s="63"/>
      <c r="Q37" s="63"/>
      <c r="R37" s="63"/>
      <c r="S37" s="63"/>
      <c r="T37" s="63"/>
      <c r="U37" s="63"/>
      <c r="V37" s="63"/>
      <c r="W37" s="63"/>
      <c r="X37" s="63"/>
      <c r="Y37" s="64"/>
      <c r="Z37" s="63"/>
      <c r="AA37" s="64"/>
    </row>
    <row r="38" spans="1:27" x14ac:dyDescent="0.25">
      <c r="A38" s="63"/>
      <c r="B38" s="63"/>
      <c r="C38" s="63"/>
      <c r="D38" s="63"/>
      <c r="E38" s="63"/>
      <c r="F38" s="63"/>
      <c r="G38" s="63"/>
      <c r="H38" s="63"/>
      <c r="I38" s="63"/>
      <c r="J38" s="63"/>
      <c r="K38" s="63"/>
      <c r="L38" s="63"/>
      <c r="M38" s="63"/>
      <c r="N38" s="63"/>
      <c r="O38" s="63"/>
      <c r="P38" s="63"/>
      <c r="Q38" s="63"/>
      <c r="R38" s="63"/>
      <c r="S38" s="63"/>
      <c r="T38" s="63"/>
      <c r="U38" s="63"/>
      <c r="V38" s="63"/>
      <c r="W38" s="63"/>
      <c r="X38" s="63"/>
      <c r="Y38" s="64"/>
      <c r="Z38" s="63"/>
      <c r="AA38" s="64"/>
    </row>
    <row r="39" spans="1:27" x14ac:dyDescent="0.25">
      <c r="A39" s="63"/>
      <c r="B39" s="63"/>
      <c r="C39" s="63"/>
      <c r="D39" s="63"/>
      <c r="E39" s="63"/>
      <c r="F39" s="63"/>
      <c r="G39" s="63"/>
      <c r="H39" s="63"/>
      <c r="I39" s="63"/>
      <c r="J39" s="63"/>
      <c r="K39" s="63"/>
      <c r="L39" s="63"/>
      <c r="M39" s="63"/>
      <c r="N39" s="63"/>
      <c r="O39" s="63"/>
      <c r="P39" s="63"/>
      <c r="Q39" s="63"/>
      <c r="R39" s="63"/>
      <c r="S39" s="63"/>
      <c r="T39" s="63"/>
      <c r="U39" s="63"/>
      <c r="V39" s="63"/>
      <c r="W39" s="63"/>
      <c r="X39" s="63"/>
      <c r="Y39" s="64"/>
      <c r="Z39" s="63"/>
      <c r="AA39" s="64"/>
    </row>
    <row r="40" spans="1:27" x14ac:dyDescent="0.25">
      <c r="A40" s="63"/>
      <c r="B40" s="63"/>
      <c r="C40" s="63"/>
      <c r="D40" s="63"/>
      <c r="E40" s="63"/>
      <c r="F40" s="63"/>
      <c r="G40" s="63"/>
      <c r="H40" s="63"/>
      <c r="I40" s="63"/>
      <c r="J40" s="63"/>
      <c r="K40" s="63"/>
      <c r="L40" s="63"/>
      <c r="M40" s="63"/>
      <c r="N40" s="63"/>
      <c r="O40" s="63"/>
      <c r="P40" s="63"/>
      <c r="Q40" s="63"/>
      <c r="R40" s="63"/>
      <c r="S40" s="63"/>
      <c r="T40" s="63"/>
      <c r="U40" s="63"/>
      <c r="V40" s="63"/>
      <c r="W40" s="63"/>
      <c r="X40" s="63"/>
      <c r="Y40" s="64"/>
      <c r="Z40" s="63"/>
      <c r="AA40" s="64"/>
    </row>
    <row r="41" spans="1:27" x14ac:dyDescent="0.25">
      <c r="A41" s="63"/>
      <c r="B41" s="63"/>
      <c r="C41" s="63"/>
      <c r="D41" s="63"/>
      <c r="E41" s="63"/>
      <c r="F41" s="63"/>
      <c r="G41" s="63"/>
      <c r="H41" s="63"/>
      <c r="I41" s="63"/>
      <c r="J41" s="63"/>
      <c r="K41" s="63"/>
      <c r="L41" s="63"/>
      <c r="M41" s="63"/>
      <c r="N41" s="63"/>
      <c r="O41" s="63"/>
      <c r="P41" s="63"/>
      <c r="Q41" s="63"/>
      <c r="R41" s="63"/>
      <c r="S41" s="63"/>
      <c r="T41" s="63"/>
      <c r="U41" s="63"/>
      <c r="V41" s="63"/>
      <c r="W41" s="63"/>
      <c r="X41" s="63"/>
      <c r="Y41" s="64"/>
      <c r="Z41" s="63"/>
      <c r="AA41" s="64"/>
    </row>
    <row r="42" spans="1:27" x14ac:dyDescent="0.25">
      <c r="A42" s="63"/>
      <c r="B42" s="63"/>
      <c r="C42" s="63"/>
      <c r="D42" s="63"/>
      <c r="E42" s="63"/>
      <c r="F42" s="63"/>
      <c r="G42" s="63"/>
      <c r="H42" s="63"/>
      <c r="I42" s="63"/>
      <c r="J42" s="63"/>
      <c r="K42" s="63"/>
      <c r="L42" s="63"/>
      <c r="M42" s="63"/>
      <c r="N42" s="63"/>
      <c r="O42" s="63"/>
      <c r="P42" s="63"/>
      <c r="Q42" s="63"/>
      <c r="R42" s="63"/>
      <c r="S42" s="63"/>
      <c r="T42" s="63"/>
      <c r="U42" s="63"/>
      <c r="V42" s="63"/>
      <c r="W42" s="63"/>
      <c r="X42" s="63"/>
      <c r="Y42" s="64"/>
      <c r="Z42" s="63"/>
      <c r="AA42" s="64"/>
    </row>
    <row r="43" spans="1:27" x14ac:dyDescent="0.25">
      <c r="A43" s="63"/>
      <c r="B43" s="63"/>
      <c r="C43" s="63"/>
      <c r="D43" s="63"/>
      <c r="E43" s="63"/>
      <c r="F43" s="63"/>
      <c r="G43" s="63"/>
      <c r="H43" s="63"/>
      <c r="I43" s="63"/>
      <c r="J43" s="63"/>
      <c r="K43" s="63"/>
      <c r="L43" s="63"/>
      <c r="M43" s="63"/>
      <c r="N43" s="63"/>
      <c r="O43" s="63"/>
      <c r="P43" s="63"/>
      <c r="Q43" s="63"/>
      <c r="R43" s="63"/>
      <c r="S43" s="63"/>
      <c r="T43" s="63"/>
      <c r="U43" s="63"/>
      <c r="V43" s="63"/>
      <c r="W43" s="63"/>
      <c r="X43" s="63"/>
      <c r="Y43" s="64"/>
      <c r="Z43" s="63"/>
      <c r="AA43" s="64"/>
    </row>
    <row r="44" spans="1:27" x14ac:dyDescent="0.25">
      <c r="A44" s="63"/>
      <c r="B44" s="63"/>
      <c r="C44" s="63"/>
      <c r="D44" s="63"/>
      <c r="E44" s="63"/>
      <c r="F44" s="63"/>
      <c r="G44" s="63"/>
      <c r="H44" s="63"/>
      <c r="I44" s="63"/>
      <c r="J44" s="63"/>
      <c r="K44" s="63"/>
      <c r="L44" s="63"/>
      <c r="M44" s="63"/>
      <c r="N44" s="63"/>
      <c r="O44" s="63"/>
      <c r="P44" s="63"/>
      <c r="Q44" s="63"/>
      <c r="R44" s="63"/>
      <c r="S44" s="63"/>
      <c r="T44" s="63"/>
      <c r="U44" s="63"/>
      <c r="V44" s="63"/>
      <c r="W44" s="63"/>
      <c r="X44" s="63"/>
      <c r="Y44" s="64"/>
      <c r="Z44" s="63"/>
      <c r="AA44" s="64"/>
    </row>
    <row r="45" spans="1:27" x14ac:dyDescent="0.25">
      <c r="A45" s="63"/>
      <c r="B45" s="63"/>
      <c r="C45" s="63"/>
      <c r="D45" s="63"/>
      <c r="E45" s="63"/>
      <c r="F45" s="63"/>
      <c r="G45" s="63"/>
      <c r="H45" s="63"/>
      <c r="I45" s="63"/>
      <c r="J45" s="63"/>
      <c r="K45" s="63"/>
      <c r="L45" s="63"/>
      <c r="M45" s="63"/>
      <c r="N45" s="63"/>
      <c r="O45" s="63"/>
      <c r="P45" s="63"/>
      <c r="Q45" s="63"/>
      <c r="R45" s="63"/>
      <c r="S45" s="63"/>
      <c r="T45" s="63"/>
      <c r="U45" s="63"/>
      <c r="V45" s="63"/>
      <c r="W45" s="63"/>
      <c r="X45" s="63"/>
      <c r="Y45" s="64"/>
      <c r="Z45" s="63"/>
      <c r="AA45" s="64"/>
    </row>
    <row r="46" spans="1:27" x14ac:dyDescent="0.25">
      <c r="A46" s="63"/>
      <c r="B46" s="63"/>
      <c r="C46" s="63"/>
      <c r="D46" s="63"/>
      <c r="E46" s="63"/>
      <c r="F46" s="63"/>
      <c r="G46" s="63"/>
      <c r="H46" s="63"/>
      <c r="I46" s="63"/>
      <c r="J46" s="63"/>
      <c r="K46" s="63"/>
      <c r="L46" s="63"/>
      <c r="M46" s="63"/>
      <c r="N46" s="63"/>
      <c r="O46" s="63"/>
      <c r="P46" s="63"/>
      <c r="Q46" s="63"/>
      <c r="R46" s="63"/>
      <c r="S46" s="63"/>
      <c r="T46" s="63"/>
      <c r="U46" s="63"/>
      <c r="V46" s="63"/>
      <c r="W46" s="63"/>
      <c r="X46" s="63"/>
      <c r="Y46" s="64"/>
      <c r="Z46" s="63"/>
      <c r="AA46" s="64"/>
    </row>
    <row r="47" spans="1:27" x14ac:dyDescent="0.25">
      <c r="A47" s="63"/>
      <c r="B47" s="63"/>
      <c r="C47" s="63"/>
      <c r="D47" s="63"/>
      <c r="E47" s="63"/>
      <c r="F47" s="63"/>
      <c r="G47" s="63"/>
      <c r="H47" s="63"/>
      <c r="I47" s="63"/>
      <c r="J47" s="63"/>
      <c r="K47" s="63"/>
      <c r="L47" s="63"/>
      <c r="M47" s="63"/>
      <c r="N47" s="63"/>
      <c r="O47" s="63"/>
      <c r="P47" s="63"/>
      <c r="Q47" s="63"/>
      <c r="R47" s="63"/>
      <c r="S47" s="63"/>
      <c r="T47" s="63"/>
      <c r="U47" s="63"/>
      <c r="V47" s="63"/>
      <c r="W47" s="63"/>
      <c r="X47" s="63"/>
      <c r="Y47" s="64"/>
      <c r="Z47" s="63"/>
      <c r="AA47" s="64"/>
    </row>
    <row r="48" spans="1:27" x14ac:dyDescent="0.25">
      <c r="A48" s="63"/>
      <c r="B48" s="63"/>
      <c r="C48" s="63"/>
      <c r="D48" s="63"/>
      <c r="E48" s="63"/>
      <c r="F48" s="63"/>
      <c r="G48" s="63"/>
      <c r="H48" s="63"/>
      <c r="I48" s="63"/>
      <c r="J48" s="63"/>
      <c r="K48" s="63"/>
      <c r="L48" s="63"/>
      <c r="M48" s="63"/>
      <c r="N48" s="63"/>
      <c r="O48" s="63"/>
      <c r="P48" s="63"/>
      <c r="Q48" s="63"/>
      <c r="R48" s="63"/>
      <c r="S48" s="63"/>
      <c r="T48" s="63"/>
      <c r="U48" s="63"/>
      <c r="V48" s="63"/>
      <c r="W48" s="63"/>
      <c r="X48" s="63"/>
      <c r="Y48" s="64"/>
      <c r="Z48" s="63"/>
      <c r="AA48" s="64"/>
    </row>
    <row r="49" spans="1:27" x14ac:dyDescent="0.25">
      <c r="A49" s="63"/>
      <c r="B49" s="63"/>
      <c r="C49" s="63"/>
      <c r="D49" s="63"/>
      <c r="E49" s="63"/>
      <c r="F49" s="63"/>
      <c r="G49" s="63"/>
      <c r="H49" s="63"/>
      <c r="I49" s="63"/>
      <c r="J49" s="63"/>
      <c r="K49" s="63"/>
      <c r="L49" s="63"/>
      <c r="M49" s="63"/>
      <c r="N49" s="63"/>
      <c r="O49" s="63"/>
      <c r="P49" s="63"/>
      <c r="Q49" s="63"/>
      <c r="R49" s="63"/>
      <c r="S49" s="63"/>
      <c r="T49" s="63"/>
      <c r="U49" s="63"/>
      <c r="V49" s="63"/>
      <c r="W49" s="63"/>
      <c r="X49" s="63"/>
      <c r="Y49" s="64"/>
      <c r="Z49" s="63"/>
      <c r="AA49" s="64"/>
    </row>
    <row r="50" spans="1:27" x14ac:dyDescent="0.25">
      <c r="A50" s="63"/>
      <c r="B50" s="63"/>
      <c r="C50" s="63"/>
      <c r="D50" s="63"/>
      <c r="E50" s="63"/>
      <c r="F50" s="63"/>
      <c r="G50" s="63"/>
      <c r="H50" s="63"/>
      <c r="I50" s="63"/>
      <c r="J50" s="63"/>
      <c r="K50" s="63"/>
      <c r="L50" s="63"/>
      <c r="M50" s="63"/>
      <c r="N50" s="63"/>
      <c r="O50" s="63"/>
      <c r="P50" s="63"/>
      <c r="Q50" s="63"/>
      <c r="R50" s="63"/>
      <c r="S50" s="63"/>
      <c r="T50" s="63"/>
      <c r="U50" s="63"/>
      <c r="V50" s="63"/>
      <c r="W50" s="63"/>
      <c r="X50" s="63"/>
      <c r="Y50" s="64"/>
      <c r="Z50" s="63"/>
      <c r="AA50" s="64"/>
    </row>
    <row r="51" spans="1:27" x14ac:dyDescent="0.25">
      <c r="A51" s="63"/>
      <c r="B51" s="63"/>
      <c r="C51" s="63"/>
      <c r="D51" s="63"/>
      <c r="E51" s="63"/>
      <c r="F51" s="63"/>
      <c r="G51" s="63"/>
      <c r="H51" s="63"/>
      <c r="I51" s="63"/>
      <c r="J51" s="63"/>
      <c r="K51" s="63"/>
      <c r="L51" s="63"/>
      <c r="M51" s="63"/>
      <c r="N51" s="63"/>
      <c r="O51" s="63"/>
      <c r="P51" s="63"/>
      <c r="Q51" s="63"/>
      <c r="R51" s="63"/>
      <c r="S51" s="63"/>
      <c r="T51" s="63"/>
      <c r="U51" s="63"/>
      <c r="V51" s="63"/>
      <c r="W51" s="63"/>
      <c r="X51" s="63"/>
      <c r="Y51" s="64"/>
      <c r="Z51" s="63"/>
      <c r="AA51" s="64"/>
    </row>
    <row r="52" spans="1:27" x14ac:dyDescent="0.25">
      <c r="A52" s="63"/>
      <c r="B52" s="63"/>
      <c r="C52" s="63"/>
      <c r="D52" s="63"/>
      <c r="E52" s="63"/>
      <c r="F52" s="63"/>
      <c r="G52" s="63"/>
      <c r="H52" s="63"/>
      <c r="I52" s="63"/>
      <c r="J52" s="63"/>
      <c r="K52" s="63"/>
      <c r="L52" s="63"/>
      <c r="M52" s="63"/>
      <c r="N52" s="63"/>
      <c r="O52" s="63"/>
      <c r="P52" s="63"/>
      <c r="Q52" s="63"/>
      <c r="R52" s="63"/>
      <c r="S52" s="63"/>
      <c r="T52" s="63"/>
      <c r="U52" s="63"/>
      <c r="V52" s="63"/>
      <c r="W52" s="63"/>
      <c r="X52" s="63"/>
      <c r="Y52" s="64"/>
      <c r="Z52" s="63"/>
      <c r="AA52" s="64"/>
    </row>
    <row r="53" spans="1:27" x14ac:dyDescent="0.25">
      <c r="A53" s="63"/>
      <c r="B53" s="63"/>
      <c r="C53" s="63"/>
      <c r="D53" s="63"/>
      <c r="E53" s="63"/>
      <c r="F53" s="63"/>
      <c r="G53" s="63"/>
      <c r="H53" s="63"/>
      <c r="I53" s="63"/>
      <c r="J53" s="63"/>
      <c r="K53" s="63"/>
      <c r="L53" s="63"/>
      <c r="M53" s="63"/>
      <c r="N53" s="63"/>
      <c r="O53" s="63"/>
      <c r="P53" s="63"/>
      <c r="Q53" s="63"/>
      <c r="R53" s="63"/>
      <c r="S53" s="63"/>
      <c r="T53" s="63"/>
      <c r="U53" s="63"/>
      <c r="V53" s="63"/>
      <c r="W53" s="63"/>
      <c r="X53" s="63"/>
      <c r="Y53" s="64"/>
      <c r="Z53" s="63"/>
      <c r="AA53" s="64"/>
    </row>
    <row r="54" spans="1:27" x14ac:dyDescent="0.25">
      <c r="A54" s="63"/>
      <c r="B54" s="63"/>
      <c r="C54" s="63"/>
      <c r="D54" s="63"/>
      <c r="E54" s="63"/>
      <c r="F54" s="63"/>
      <c r="G54" s="63"/>
      <c r="H54" s="63"/>
      <c r="I54" s="63"/>
      <c r="J54" s="63"/>
      <c r="K54" s="63"/>
      <c r="L54" s="63"/>
      <c r="M54" s="63"/>
      <c r="N54" s="63"/>
      <c r="O54" s="63"/>
      <c r="P54" s="63"/>
      <c r="Q54" s="63"/>
      <c r="R54" s="63"/>
      <c r="S54" s="63"/>
      <c r="T54" s="63"/>
      <c r="U54" s="63"/>
      <c r="V54" s="63"/>
      <c r="W54" s="63"/>
      <c r="X54" s="63"/>
      <c r="Y54" s="64"/>
      <c r="Z54" s="63"/>
      <c r="AA54" s="64"/>
    </row>
    <row r="55" spans="1:27" x14ac:dyDescent="0.25">
      <c r="A55" s="63"/>
      <c r="B55" s="63"/>
      <c r="C55" s="63"/>
      <c r="D55" s="63"/>
      <c r="E55" s="63"/>
      <c r="F55" s="63"/>
      <c r="G55" s="63"/>
      <c r="H55" s="63"/>
      <c r="I55" s="63"/>
      <c r="J55" s="63"/>
      <c r="K55" s="63"/>
      <c r="L55" s="63"/>
      <c r="M55" s="63"/>
      <c r="N55" s="63"/>
      <c r="O55" s="63"/>
      <c r="P55" s="63"/>
      <c r="Q55" s="63"/>
      <c r="R55" s="63"/>
      <c r="S55" s="63"/>
      <c r="T55" s="63"/>
      <c r="U55" s="63"/>
      <c r="V55" s="63"/>
      <c r="W55" s="63"/>
      <c r="X55" s="63"/>
      <c r="Y55" s="64"/>
      <c r="Z55" s="63"/>
      <c r="AA55" s="64"/>
    </row>
    <row r="56" spans="1:27" x14ac:dyDescent="0.25">
      <c r="A56" s="63"/>
      <c r="B56" s="63"/>
      <c r="C56" s="63"/>
      <c r="D56" s="63"/>
      <c r="E56" s="63"/>
      <c r="F56" s="63"/>
      <c r="G56" s="63"/>
      <c r="H56" s="63"/>
      <c r="I56" s="63"/>
      <c r="J56" s="63"/>
      <c r="K56" s="63"/>
      <c r="L56" s="63"/>
      <c r="M56" s="63"/>
      <c r="N56" s="63"/>
      <c r="O56" s="63"/>
      <c r="P56" s="63"/>
      <c r="Q56" s="63"/>
      <c r="R56" s="63"/>
      <c r="S56" s="63"/>
      <c r="T56" s="63"/>
      <c r="U56" s="63"/>
      <c r="V56" s="63"/>
      <c r="W56" s="63"/>
      <c r="X56" s="63"/>
      <c r="Y56" s="64"/>
      <c r="Z56" s="63"/>
      <c r="AA56" s="64"/>
    </row>
    <row r="57" spans="1:27" x14ac:dyDescent="0.25">
      <c r="A57" s="63"/>
      <c r="B57" s="63"/>
      <c r="C57" s="63"/>
      <c r="D57" s="63"/>
      <c r="E57" s="63"/>
      <c r="F57" s="63"/>
      <c r="G57" s="63"/>
      <c r="H57" s="63"/>
      <c r="I57" s="63"/>
      <c r="J57" s="63"/>
      <c r="K57" s="63"/>
      <c r="L57" s="63"/>
      <c r="M57" s="63"/>
      <c r="N57" s="63"/>
      <c r="O57" s="63"/>
      <c r="P57" s="63"/>
      <c r="Q57" s="63"/>
      <c r="R57" s="63"/>
      <c r="S57" s="63"/>
      <c r="T57" s="63"/>
      <c r="U57" s="63"/>
      <c r="V57" s="63"/>
      <c r="W57" s="63"/>
      <c r="X57" s="63"/>
      <c r="Y57" s="64"/>
      <c r="Z57" s="63"/>
      <c r="AA57" s="64"/>
    </row>
    <row r="58" spans="1:27" x14ac:dyDescent="0.25">
      <c r="A58" s="63"/>
      <c r="B58" s="63"/>
      <c r="C58" s="63"/>
      <c r="D58" s="63"/>
      <c r="E58" s="63"/>
      <c r="F58" s="63"/>
      <c r="G58" s="63"/>
      <c r="H58" s="63"/>
      <c r="I58" s="63"/>
      <c r="J58" s="63"/>
      <c r="K58" s="63"/>
      <c r="L58" s="63"/>
      <c r="M58" s="63"/>
      <c r="N58" s="63"/>
      <c r="O58" s="63"/>
      <c r="P58" s="63"/>
      <c r="Q58" s="63"/>
      <c r="R58" s="63"/>
      <c r="S58" s="63"/>
      <c r="T58" s="63"/>
      <c r="U58" s="63"/>
      <c r="V58" s="63"/>
      <c r="W58" s="63"/>
      <c r="X58" s="63"/>
      <c r="Y58" s="64"/>
      <c r="Z58" s="63"/>
      <c r="AA58" s="64"/>
    </row>
    <row r="59" spans="1:27" x14ac:dyDescent="0.25">
      <c r="A59" s="63"/>
      <c r="B59" s="63"/>
      <c r="C59" s="63"/>
      <c r="D59" s="63"/>
      <c r="E59" s="63"/>
      <c r="F59" s="63"/>
      <c r="G59" s="63"/>
      <c r="H59" s="63"/>
      <c r="I59" s="63"/>
      <c r="J59" s="63"/>
      <c r="K59" s="63"/>
      <c r="L59" s="63"/>
      <c r="M59" s="63"/>
      <c r="N59" s="63"/>
      <c r="O59" s="63"/>
      <c r="P59" s="63"/>
      <c r="Q59" s="63"/>
      <c r="R59" s="63"/>
      <c r="S59" s="63"/>
      <c r="T59" s="63"/>
      <c r="U59" s="63"/>
      <c r="V59" s="63"/>
      <c r="W59" s="63"/>
      <c r="X59" s="63"/>
      <c r="Y59" s="64"/>
      <c r="Z59" s="63"/>
      <c r="AA59" s="64"/>
    </row>
    <row r="60" spans="1:27" x14ac:dyDescent="0.25">
      <c r="A60" s="63"/>
      <c r="B60" s="63"/>
      <c r="C60" s="63"/>
      <c r="D60" s="63"/>
      <c r="E60" s="63"/>
      <c r="F60" s="63"/>
      <c r="G60" s="63"/>
      <c r="H60" s="63"/>
      <c r="I60" s="63"/>
      <c r="J60" s="63"/>
      <c r="K60" s="63"/>
      <c r="L60" s="63"/>
      <c r="M60" s="63"/>
      <c r="N60" s="63"/>
      <c r="O60" s="63"/>
      <c r="P60" s="63"/>
      <c r="Q60" s="63"/>
      <c r="R60" s="63"/>
      <c r="S60" s="63"/>
      <c r="T60" s="63"/>
      <c r="U60" s="63"/>
      <c r="V60" s="63"/>
      <c r="W60" s="63"/>
      <c r="X60" s="63"/>
      <c r="Y60" s="64"/>
      <c r="Z60" s="63"/>
      <c r="AA60" s="64"/>
    </row>
    <row r="61" spans="1:27" x14ac:dyDescent="0.25">
      <c r="A61" s="63"/>
      <c r="B61" s="63"/>
      <c r="C61" s="63"/>
      <c r="D61" s="63"/>
      <c r="E61" s="63"/>
      <c r="F61" s="63"/>
      <c r="G61" s="63"/>
      <c r="H61" s="63"/>
      <c r="I61" s="63"/>
      <c r="J61" s="63"/>
      <c r="K61" s="63"/>
      <c r="L61" s="63"/>
      <c r="M61" s="63"/>
      <c r="N61" s="63"/>
      <c r="O61" s="63"/>
      <c r="P61" s="63"/>
      <c r="Q61" s="63"/>
      <c r="R61" s="63"/>
      <c r="S61" s="63"/>
      <c r="T61" s="63"/>
      <c r="U61" s="63"/>
      <c r="V61" s="63"/>
      <c r="W61" s="63"/>
      <c r="X61" s="63"/>
      <c r="Y61" s="64"/>
      <c r="Z61" s="63"/>
      <c r="AA61" s="64"/>
    </row>
    <row r="62" spans="1:27" x14ac:dyDescent="0.25">
      <c r="A62" s="63"/>
      <c r="B62" s="63"/>
      <c r="C62" s="63"/>
      <c r="D62" s="63"/>
      <c r="E62" s="63"/>
      <c r="F62" s="63"/>
      <c r="G62" s="63"/>
      <c r="H62" s="63"/>
      <c r="I62" s="63"/>
      <c r="J62" s="63"/>
      <c r="K62" s="63"/>
      <c r="L62" s="63"/>
      <c r="M62" s="63"/>
      <c r="N62" s="63"/>
      <c r="O62" s="63"/>
      <c r="P62" s="63"/>
      <c r="Q62" s="63"/>
      <c r="R62" s="63"/>
      <c r="S62" s="63"/>
      <c r="T62" s="63"/>
      <c r="U62" s="63"/>
      <c r="V62" s="63"/>
      <c r="W62" s="63"/>
      <c r="X62" s="63"/>
      <c r="Y62" s="64"/>
      <c r="Z62" s="63"/>
      <c r="AA62" s="64"/>
    </row>
    <row r="63" spans="1:27" x14ac:dyDescent="0.25">
      <c r="A63" s="63"/>
      <c r="B63" s="63"/>
      <c r="C63" s="63"/>
      <c r="D63" s="63"/>
      <c r="E63" s="63"/>
      <c r="F63" s="63"/>
      <c r="G63" s="63"/>
      <c r="H63" s="63"/>
      <c r="I63" s="63"/>
      <c r="J63" s="63"/>
      <c r="K63" s="63"/>
      <c r="L63" s="63"/>
      <c r="M63" s="63"/>
      <c r="N63" s="63"/>
      <c r="O63" s="63"/>
      <c r="P63" s="63"/>
      <c r="Q63" s="63"/>
      <c r="R63" s="63"/>
      <c r="S63" s="63"/>
      <c r="T63" s="63"/>
      <c r="U63" s="63"/>
      <c r="V63" s="63"/>
      <c r="W63" s="63"/>
      <c r="X63" s="63"/>
      <c r="Y63" s="64"/>
      <c r="Z63" s="63"/>
      <c r="AA63" s="64"/>
    </row>
    <row r="64" spans="1:27" x14ac:dyDescent="0.25">
      <c r="A64" s="63"/>
      <c r="B64" s="63"/>
      <c r="C64" s="63"/>
      <c r="D64" s="63"/>
      <c r="E64" s="63"/>
      <c r="F64" s="63"/>
      <c r="G64" s="63"/>
      <c r="H64" s="63"/>
      <c r="I64" s="63"/>
      <c r="J64" s="63"/>
      <c r="K64" s="63"/>
      <c r="L64" s="63"/>
      <c r="M64" s="63"/>
      <c r="N64" s="63"/>
      <c r="O64" s="63"/>
      <c r="P64" s="63"/>
      <c r="Q64" s="63"/>
      <c r="R64" s="63"/>
      <c r="S64" s="63"/>
      <c r="T64" s="63"/>
      <c r="U64" s="63"/>
      <c r="V64" s="63"/>
      <c r="W64" s="63"/>
      <c r="X64" s="63"/>
      <c r="Y64" s="64"/>
      <c r="Z64" s="63"/>
      <c r="AA64" s="64"/>
    </row>
    <row r="65" spans="1:27" x14ac:dyDescent="0.25">
      <c r="A65" s="63"/>
      <c r="B65" s="63"/>
      <c r="C65" s="63"/>
      <c r="D65" s="63"/>
      <c r="E65" s="63"/>
      <c r="F65" s="63"/>
      <c r="G65" s="63"/>
      <c r="H65" s="63"/>
      <c r="I65" s="63"/>
      <c r="J65" s="63"/>
      <c r="K65" s="63"/>
      <c r="L65" s="63"/>
      <c r="M65" s="63"/>
      <c r="N65" s="63"/>
      <c r="O65" s="63"/>
      <c r="P65" s="63"/>
      <c r="Q65" s="63"/>
      <c r="R65" s="63"/>
      <c r="S65" s="63"/>
      <c r="T65" s="63"/>
      <c r="U65" s="63"/>
      <c r="V65" s="63"/>
      <c r="W65" s="63"/>
      <c r="X65" s="63"/>
      <c r="Y65" s="64"/>
      <c r="Z65" s="63"/>
      <c r="AA65" s="64"/>
    </row>
    <row r="66" spans="1:27" x14ac:dyDescent="0.25">
      <c r="A66" s="63"/>
      <c r="B66" s="63"/>
      <c r="C66" s="63"/>
      <c r="D66" s="63"/>
      <c r="E66" s="63"/>
      <c r="F66" s="63"/>
      <c r="G66" s="63"/>
      <c r="H66" s="63"/>
      <c r="I66" s="63"/>
      <c r="J66" s="63"/>
      <c r="K66" s="63"/>
      <c r="L66" s="63"/>
      <c r="M66" s="63"/>
      <c r="N66" s="63"/>
      <c r="O66" s="63"/>
      <c r="P66" s="63"/>
      <c r="Q66" s="63"/>
      <c r="R66" s="63"/>
      <c r="S66" s="63"/>
      <c r="T66" s="63"/>
      <c r="U66" s="63"/>
      <c r="V66" s="63"/>
      <c r="W66" s="63"/>
      <c r="X66" s="63"/>
      <c r="Y66" s="64"/>
      <c r="Z66" s="63"/>
      <c r="AA66" s="64"/>
    </row>
    <row r="67" spans="1:27" x14ac:dyDescent="0.25">
      <c r="A67" s="63"/>
      <c r="B67" s="63"/>
      <c r="C67" s="63"/>
      <c r="D67" s="63"/>
      <c r="E67" s="63"/>
      <c r="F67" s="63"/>
      <c r="G67" s="63"/>
      <c r="H67" s="63"/>
      <c r="I67" s="63"/>
      <c r="J67" s="63"/>
      <c r="K67" s="63"/>
      <c r="L67" s="63"/>
      <c r="M67" s="63"/>
      <c r="N67" s="63"/>
      <c r="O67" s="63"/>
      <c r="P67" s="63"/>
      <c r="Q67" s="63"/>
      <c r="R67" s="63"/>
      <c r="S67" s="63"/>
      <c r="T67" s="63"/>
      <c r="U67" s="63"/>
      <c r="V67" s="63"/>
      <c r="W67" s="63"/>
      <c r="X67" s="63"/>
      <c r="Y67" s="64"/>
      <c r="Z67" s="63"/>
      <c r="AA67" s="64"/>
    </row>
    <row r="68" spans="1:27" x14ac:dyDescent="0.25">
      <c r="A68" s="63"/>
      <c r="B68" s="63"/>
      <c r="C68" s="63"/>
      <c r="D68" s="63"/>
      <c r="E68" s="63"/>
      <c r="F68" s="63"/>
      <c r="G68" s="63"/>
      <c r="H68" s="63"/>
      <c r="I68" s="63"/>
      <c r="J68" s="63"/>
      <c r="K68" s="63"/>
      <c r="L68" s="63"/>
      <c r="M68" s="63"/>
      <c r="N68" s="63"/>
      <c r="O68" s="63"/>
      <c r="P68" s="63"/>
      <c r="Q68" s="63"/>
      <c r="R68" s="63"/>
      <c r="S68" s="63"/>
      <c r="T68" s="63"/>
      <c r="U68" s="63"/>
      <c r="V68" s="63"/>
      <c r="W68" s="63"/>
      <c r="X68" s="63"/>
      <c r="Y68" s="64"/>
      <c r="Z68" s="63"/>
      <c r="AA68" s="64"/>
    </row>
    <row r="69" spans="1:27" x14ac:dyDescent="0.25">
      <c r="A69" s="63"/>
      <c r="B69" s="63"/>
      <c r="C69" s="63"/>
      <c r="D69" s="63"/>
      <c r="E69" s="63"/>
      <c r="F69" s="63"/>
      <c r="G69" s="63"/>
      <c r="H69" s="63"/>
      <c r="I69" s="63"/>
      <c r="J69" s="63"/>
      <c r="K69" s="63"/>
      <c r="L69" s="63"/>
      <c r="M69" s="63"/>
      <c r="N69" s="63"/>
      <c r="O69" s="63"/>
      <c r="P69" s="63"/>
      <c r="Q69" s="63"/>
      <c r="R69" s="63"/>
      <c r="S69" s="63"/>
      <c r="T69" s="63"/>
      <c r="U69" s="63"/>
      <c r="V69" s="63"/>
      <c r="W69" s="63"/>
      <c r="X69" s="63"/>
      <c r="Y69" s="64"/>
      <c r="Z69" s="63"/>
      <c r="AA69" s="64"/>
    </row>
    <row r="70" spans="1:27" x14ac:dyDescent="0.25">
      <c r="A70" s="63"/>
      <c r="B70" s="63"/>
      <c r="C70" s="63"/>
      <c r="D70" s="63"/>
      <c r="E70" s="63"/>
      <c r="F70" s="63"/>
      <c r="G70" s="63"/>
      <c r="H70" s="63"/>
      <c r="I70" s="63"/>
      <c r="J70" s="63"/>
      <c r="K70" s="63"/>
      <c r="L70" s="63"/>
      <c r="M70" s="63"/>
      <c r="N70" s="63"/>
      <c r="O70" s="63"/>
      <c r="P70" s="63"/>
      <c r="Q70" s="63"/>
      <c r="R70" s="63"/>
      <c r="S70" s="63"/>
      <c r="T70" s="63"/>
      <c r="U70" s="63"/>
      <c r="V70" s="63"/>
      <c r="W70" s="63"/>
      <c r="X70" s="63"/>
      <c r="Y70" s="64"/>
      <c r="Z70" s="63"/>
      <c r="AA70" s="64"/>
    </row>
    <row r="71" spans="1:27" x14ac:dyDescent="0.25">
      <c r="A71" s="63"/>
      <c r="B71" s="63"/>
      <c r="C71" s="63"/>
      <c r="D71" s="63"/>
      <c r="E71" s="63"/>
      <c r="F71" s="63"/>
      <c r="G71" s="63"/>
      <c r="H71" s="63"/>
      <c r="I71" s="63"/>
      <c r="J71" s="63"/>
      <c r="K71" s="63"/>
      <c r="L71" s="63"/>
      <c r="M71" s="63"/>
      <c r="N71" s="63"/>
      <c r="O71" s="63"/>
      <c r="P71" s="63"/>
      <c r="Q71" s="63"/>
      <c r="R71" s="63"/>
      <c r="S71" s="63"/>
      <c r="T71" s="63"/>
      <c r="U71" s="63"/>
      <c r="V71" s="63"/>
      <c r="W71" s="63"/>
      <c r="X71" s="63"/>
      <c r="Y71" s="64"/>
      <c r="Z71" s="63"/>
      <c r="AA71" s="64"/>
    </row>
    <row r="72" spans="1:27" x14ac:dyDescent="0.25">
      <c r="A72" s="63"/>
      <c r="B72" s="63"/>
      <c r="C72" s="63"/>
      <c r="D72" s="63"/>
      <c r="E72" s="63"/>
      <c r="F72" s="63"/>
      <c r="G72" s="63"/>
      <c r="H72" s="63"/>
      <c r="I72" s="63"/>
      <c r="J72" s="63"/>
      <c r="K72" s="63"/>
      <c r="L72" s="63"/>
      <c r="M72" s="63"/>
      <c r="N72" s="63"/>
      <c r="O72" s="63"/>
      <c r="P72" s="63"/>
      <c r="Q72" s="63"/>
      <c r="R72" s="63"/>
      <c r="S72" s="63"/>
      <c r="T72" s="63"/>
      <c r="U72" s="63"/>
      <c r="V72" s="63"/>
      <c r="W72" s="63"/>
      <c r="X72" s="63"/>
      <c r="Y72" s="64"/>
      <c r="Z72" s="63"/>
      <c r="AA72" s="64"/>
    </row>
    <row r="73" spans="1:27" x14ac:dyDescent="0.25">
      <c r="A73" s="63"/>
      <c r="B73" s="63"/>
      <c r="C73" s="63"/>
      <c r="D73" s="63"/>
      <c r="E73" s="63"/>
      <c r="F73" s="63"/>
      <c r="G73" s="63"/>
      <c r="H73" s="63"/>
      <c r="I73" s="63"/>
      <c r="J73" s="63"/>
      <c r="K73" s="63"/>
      <c r="L73" s="63"/>
      <c r="M73" s="63"/>
      <c r="N73" s="63"/>
      <c r="O73" s="63"/>
      <c r="P73" s="63"/>
      <c r="Q73" s="63"/>
      <c r="R73" s="63"/>
      <c r="S73" s="63"/>
      <c r="T73" s="63"/>
      <c r="U73" s="63"/>
      <c r="V73" s="63"/>
      <c r="W73" s="63"/>
      <c r="X73" s="63"/>
      <c r="Y73" s="64"/>
      <c r="Z73" s="63"/>
      <c r="AA73" s="64"/>
    </row>
    <row r="74" spans="1:27" x14ac:dyDescent="0.25">
      <c r="A74" s="63"/>
      <c r="B74" s="63"/>
      <c r="C74" s="63"/>
      <c r="D74" s="63"/>
      <c r="E74" s="63"/>
      <c r="F74" s="63"/>
      <c r="G74" s="63"/>
      <c r="H74" s="63"/>
      <c r="I74" s="63"/>
      <c r="J74" s="63"/>
      <c r="K74" s="63"/>
      <c r="L74" s="63"/>
      <c r="M74" s="63"/>
      <c r="N74" s="63"/>
      <c r="O74" s="63"/>
      <c r="P74" s="63"/>
      <c r="Q74" s="63"/>
      <c r="R74" s="63"/>
      <c r="S74" s="63"/>
      <c r="T74" s="63"/>
      <c r="U74" s="63"/>
      <c r="V74" s="63"/>
      <c r="W74" s="63"/>
      <c r="X74" s="63"/>
      <c r="Y74" s="64"/>
      <c r="Z74" s="63"/>
      <c r="AA74" s="64"/>
    </row>
    <row r="75" spans="1:27" x14ac:dyDescent="0.25">
      <c r="A75" s="63"/>
      <c r="B75" s="63"/>
      <c r="C75" s="63"/>
      <c r="D75" s="63"/>
      <c r="E75" s="63"/>
      <c r="F75" s="63"/>
      <c r="G75" s="63"/>
      <c r="H75" s="63"/>
      <c r="I75" s="63"/>
      <c r="J75" s="63"/>
      <c r="K75" s="63"/>
      <c r="L75" s="63"/>
      <c r="M75" s="63"/>
      <c r="N75" s="63"/>
      <c r="O75" s="63"/>
      <c r="P75" s="63"/>
      <c r="Q75" s="63"/>
      <c r="R75" s="63"/>
      <c r="S75" s="63"/>
      <c r="T75" s="63"/>
      <c r="U75" s="63"/>
      <c r="V75" s="63"/>
      <c r="W75" s="63"/>
      <c r="X75" s="63"/>
      <c r="Y75" s="64"/>
      <c r="Z75" s="63"/>
      <c r="AA75" s="64"/>
    </row>
    <row r="76" spans="1:27" x14ac:dyDescent="0.25">
      <c r="A76" s="63"/>
      <c r="B76" s="63"/>
      <c r="C76" s="63"/>
      <c r="D76" s="63"/>
      <c r="E76" s="63"/>
      <c r="F76" s="63"/>
      <c r="G76" s="63"/>
      <c r="H76" s="63"/>
      <c r="I76" s="63"/>
      <c r="J76" s="63"/>
      <c r="K76" s="63"/>
      <c r="L76" s="63"/>
      <c r="M76" s="63"/>
      <c r="N76" s="63"/>
      <c r="O76" s="63"/>
      <c r="P76" s="63"/>
      <c r="Q76" s="63"/>
      <c r="R76" s="63"/>
      <c r="S76" s="63"/>
      <c r="T76" s="63"/>
      <c r="U76" s="63"/>
      <c r="V76" s="63"/>
      <c r="W76" s="63"/>
      <c r="X76" s="63"/>
      <c r="Y76" s="64"/>
      <c r="Z76" s="63"/>
      <c r="AA76" s="64"/>
    </row>
    <row r="77" spans="1:27" x14ac:dyDescent="0.25">
      <c r="A77" s="63"/>
      <c r="B77" s="63"/>
      <c r="C77" s="63"/>
      <c r="D77" s="63"/>
      <c r="E77" s="63"/>
      <c r="F77" s="63"/>
      <c r="G77" s="63"/>
      <c r="H77" s="63"/>
      <c r="I77" s="63"/>
      <c r="J77" s="63"/>
      <c r="K77" s="63"/>
      <c r="L77" s="63"/>
      <c r="M77" s="63"/>
      <c r="N77" s="63"/>
      <c r="O77" s="63"/>
      <c r="P77" s="63"/>
      <c r="Q77" s="63"/>
      <c r="R77" s="63"/>
      <c r="S77" s="63"/>
      <c r="T77" s="63"/>
      <c r="U77" s="63"/>
      <c r="V77" s="63"/>
      <c r="W77" s="63"/>
      <c r="X77" s="63"/>
      <c r="Y77" s="64"/>
      <c r="Z77" s="63"/>
      <c r="AA77" s="64"/>
    </row>
    <row r="78" spans="1:27" x14ac:dyDescent="0.25">
      <c r="A78" s="63"/>
      <c r="B78" s="63"/>
      <c r="C78" s="63"/>
      <c r="D78" s="63"/>
      <c r="E78" s="63"/>
      <c r="F78" s="63"/>
      <c r="G78" s="63"/>
      <c r="H78" s="63"/>
      <c r="I78" s="63"/>
      <c r="J78" s="63"/>
      <c r="K78" s="63"/>
      <c r="L78" s="63"/>
      <c r="M78" s="63"/>
      <c r="N78" s="63"/>
      <c r="O78" s="63"/>
      <c r="P78" s="63"/>
      <c r="Q78" s="63"/>
      <c r="R78" s="63"/>
      <c r="S78" s="63"/>
      <c r="T78" s="63"/>
      <c r="U78" s="63"/>
      <c r="V78" s="63"/>
      <c r="W78" s="63"/>
      <c r="X78" s="63"/>
      <c r="Y78" s="64"/>
      <c r="Z78" s="63"/>
      <c r="AA78" s="64"/>
    </row>
    <row r="79" spans="1:27" x14ac:dyDescent="0.25">
      <c r="A79" s="63"/>
      <c r="B79" s="63"/>
      <c r="C79" s="63"/>
      <c r="D79" s="63"/>
      <c r="E79" s="63"/>
      <c r="F79" s="63"/>
      <c r="G79" s="63"/>
      <c r="H79" s="63"/>
      <c r="I79" s="63"/>
      <c r="J79" s="63"/>
      <c r="K79" s="63"/>
      <c r="L79" s="63"/>
      <c r="M79" s="63"/>
      <c r="N79" s="63"/>
      <c r="O79" s="63"/>
      <c r="P79" s="63"/>
      <c r="Q79" s="63"/>
      <c r="R79" s="63"/>
      <c r="S79" s="63"/>
      <c r="T79" s="63"/>
      <c r="U79" s="63"/>
      <c r="V79" s="63"/>
      <c r="W79" s="63"/>
      <c r="X79" s="63"/>
      <c r="Y79" s="64"/>
      <c r="Z79" s="63"/>
      <c r="AA79" s="64"/>
    </row>
    <row r="80" spans="1:27" x14ac:dyDescent="0.25">
      <c r="A80" s="63"/>
      <c r="B80" s="63"/>
      <c r="C80" s="63"/>
      <c r="D80" s="63"/>
      <c r="E80" s="63"/>
      <c r="F80" s="63"/>
      <c r="G80" s="63"/>
      <c r="H80" s="63"/>
      <c r="I80" s="63"/>
      <c r="J80" s="63"/>
      <c r="K80" s="63"/>
      <c r="L80" s="63"/>
      <c r="M80" s="63"/>
      <c r="N80" s="63"/>
      <c r="O80" s="63"/>
      <c r="P80" s="63"/>
      <c r="Q80" s="63"/>
      <c r="R80" s="63"/>
      <c r="S80" s="63"/>
      <c r="T80" s="63"/>
      <c r="U80" s="63"/>
      <c r="V80" s="63"/>
      <c r="W80" s="63"/>
      <c r="X80" s="63"/>
      <c r="Y80" s="64"/>
      <c r="Z80" s="63"/>
      <c r="AA80" s="64"/>
    </row>
  </sheetData>
  <mergeCells count="10">
    <mergeCell ref="A1:AA1"/>
    <mergeCell ref="A2:AA2"/>
    <mergeCell ref="A3:AA3"/>
    <mergeCell ref="A4:D4"/>
    <mergeCell ref="E4:H4"/>
    <mergeCell ref="I4:M4"/>
    <mergeCell ref="N4:P4"/>
    <mergeCell ref="Q4:U4"/>
    <mergeCell ref="V4:X4"/>
    <mergeCell ref="Y4:AA4"/>
  </mergeCells>
  <dataValidations count="9">
    <dataValidation type="list" sqref="Z6:Z80" xr:uid="{19E2CE08-BF75-40FE-9BCD-BA2A4F139204}">
      <formula1>"Needs Research,Draft,Reviewed,Gameplay Assigned"</formula1>
    </dataValidation>
    <dataValidation type="list" sqref="U6:U80" xr:uid="{9A2C28C4-C749-45AA-8189-0FB5FD0BBE0F}">
      <formula1>"Very Poor,Poor,Fair,Good,Excellent,Variable"</formula1>
    </dataValidation>
    <dataValidation type="list" sqref="O6:O80" xr:uid="{68B9107E-00DA-4AF6-BA89-610D752A697D}">
      <formula1>"Poor,Fair,Good,Excellent,Variable,N/A"</formula1>
    </dataValidation>
    <dataValidation type="list" sqref="N6:N80" xr:uid="{9D29C602-0D20-4763-A370-ED69F30B9EB0}">
      <formula1>"Yes,No,Conditional,Unknown"</formula1>
    </dataValidation>
    <dataValidation type="list" sqref="L6:L80 Q6:R80" xr:uid="{5C07B3DF-A76E-47FA-8AC2-A411F213509F}">
      <formula1>"Poor,Fair,Good,Excellent,Variable"</formula1>
    </dataValidation>
    <dataValidation type="list" sqref="K6:K80 X6:X80" xr:uid="{8434AFE0-9221-4C76-9144-6A2AC607C24D}">
      <formula1>"Very Slow,Slow,Medium,Fast,Very Fast,Variable"</formula1>
    </dataValidation>
    <dataValidation type="list" sqref="J6:J80" xr:uid="{74B39907-506E-4578-A60E-43A5B5AE2AD2}">
      <formula1>"Non-durable,Slightly Durable,Moderately Durable,Durable,Very Durable,Variable"</formula1>
    </dataValidation>
    <dataValidation type="list" sqref="I6:I80 V6:W80 S6:T80 M6:M80" xr:uid="{C485B088-4FB2-4861-9340-B9084955084E}">
      <formula1>"Very Low,Low,Medium,High,Very High,Variable"</formula1>
    </dataValidation>
    <dataValidation type="list" sqref="D6:D80" xr:uid="{E8532E07-C6B4-4969-A195-D5464226E119}">
      <formula1>"Hardwood,Softwood,Other / Unknown"</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D770A-6D71-43E9-BA6F-F7F2822BD70C}">
  <dimension ref="A1:AD80"/>
  <sheetViews>
    <sheetView workbookViewId="0">
      <selection activeCell="B20" sqref="B20"/>
    </sheetView>
  </sheetViews>
  <sheetFormatPr defaultRowHeight="15" x14ac:dyDescent="0.25"/>
  <cols>
    <col min="1" max="1" width="17" customWidth="1"/>
    <col min="2" max="2" width="18" customWidth="1"/>
    <col min="3" max="3" width="27" customWidth="1"/>
    <col min="4" max="4" width="17" customWidth="1"/>
    <col min="5" max="5" width="28" customWidth="1"/>
    <col min="6" max="6" width="20" customWidth="1"/>
    <col min="7" max="7" width="22" customWidth="1"/>
    <col min="8" max="8" width="26" customWidth="1"/>
    <col min="9" max="9" width="24" customWidth="1"/>
    <col min="10" max="10" width="22" customWidth="1"/>
    <col min="11" max="12" width="23" customWidth="1"/>
    <col min="13" max="13" width="20" customWidth="1"/>
    <col min="14" max="14" width="17" customWidth="1"/>
    <col min="15" max="15" width="22" customWidth="1"/>
    <col min="16" max="16" width="17" customWidth="1"/>
    <col min="17" max="18" width="20" customWidth="1"/>
    <col min="19" max="20" width="25" customWidth="1"/>
    <col min="21" max="21" width="30" customWidth="1"/>
    <col min="22" max="22" width="24" customWidth="1"/>
    <col min="23" max="23" width="27" customWidth="1"/>
    <col min="24" max="24" width="21" customWidth="1"/>
    <col min="25" max="25" width="19" customWidth="1"/>
    <col min="26" max="26" width="21" customWidth="1"/>
    <col min="27" max="27" width="23" customWidth="1"/>
    <col min="28" max="28" width="18" customWidth="1"/>
    <col min="29" max="29" width="52" customWidth="1"/>
    <col min="30" max="30" width="36" customWidth="1"/>
  </cols>
  <sheetData>
    <row r="1" spans="1:30" x14ac:dyDescent="0.25">
      <c r="A1" s="155" t="s">
        <v>982</v>
      </c>
      <c r="B1" s="155"/>
      <c r="C1" s="155"/>
      <c r="D1" s="155"/>
      <c r="E1" s="155"/>
      <c r="F1" s="155"/>
      <c r="G1" s="155"/>
      <c r="H1" s="155"/>
      <c r="I1" s="155"/>
      <c r="J1" s="155"/>
      <c r="K1" s="155"/>
      <c r="L1" s="155"/>
      <c r="M1" s="155"/>
      <c r="N1" s="155"/>
      <c r="O1" s="155"/>
      <c r="P1" s="155"/>
      <c r="Q1" s="155"/>
      <c r="R1" s="155"/>
      <c r="S1" s="155"/>
      <c r="T1" s="155"/>
      <c r="U1" s="155"/>
      <c r="V1" s="155"/>
      <c r="W1" s="155"/>
      <c r="X1" s="155"/>
      <c r="Y1" s="155"/>
      <c r="Z1" s="155"/>
      <c r="AA1" s="155"/>
      <c r="AB1" s="155"/>
      <c r="AC1" s="155"/>
      <c r="AD1" s="155"/>
    </row>
    <row r="2" spans="1:30" ht="15.75" thickBot="1" x14ac:dyDescent="0.3">
      <c r="A2" s="156" t="s">
        <v>144</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row>
    <row r="3" spans="1:30" ht="16.5" thickTop="1" thickBot="1" x14ac:dyDescent="0.3">
      <c r="A3" s="157" t="s">
        <v>145</v>
      </c>
      <c r="B3" s="157"/>
      <c r="C3" s="157"/>
      <c r="D3" s="157"/>
      <c r="E3" s="157"/>
      <c r="F3" s="157"/>
      <c r="G3" s="157"/>
      <c r="H3" s="157"/>
      <c r="I3" s="157"/>
      <c r="J3" s="157"/>
      <c r="K3" s="157"/>
      <c r="L3" s="157"/>
      <c r="M3" s="157"/>
      <c r="N3" s="157"/>
      <c r="O3" s="157"/>
      <c r="P3" s="157"/>
      <c r="Q3" s="157"/>
      <c r="R3" s="157"/>
      <c r="S3" s="157"/>
      <c r="T3" s="157"/>
      <c r="U3" s="157"/>
      <c r="V3" s="157"/>
      <c r="W3" s="157"/>
      <c r="X3" s="157"/>
      <c r="Y3" s="157"/>
      <c r="Z3" s="157"/>
      <c r="AA3" s="157"/>
      <c r="AB3" s="157"/>
      <c r="AC3" s="157"/>
      <c r="AD3" s="157"/>
    </row>
    <row r="4" spans="1:30" ht="16.5" thickTop="1" thickBot="1" x14ac:dyDescent="0.3">
      <c r="A4" s="158" t="s">
        <v>327</v>
      </c>
      <c r="B4" s="158"/>
      <c r="C4" s="158"/>
      <c r="D4" s="158"/>
      <c r="E4" s="158"/>
      <c r="F4" s="158" t="s">
        <v>983</v>
      </c>
      <c r="G4" s="158"/>
      <c r="H4" s="158"/>
      <c r="I4" s="158"/>
      <c r="J4" s="158"/>
      <c r="K4" s="158"/>
      <c r="L4" s="158" t="s">
        <v>984</v>
      </c>
      <c r="M4" s="158"/>
      <c r="N4" s="158"/>
      <c r="O4" s="158"/>
      <c r="P4" s="158"/>
      <c r="Q4" s="158"/>
      <c r="R4" s="158"/>
      <c r="S4" s="158" t="s">
        <v>985</v>
      </c>
      <c r="T4" s="158"/>
      <c r="U4" s="158"/>
      <c r="V4" s="158" t="s">
        <v>986</v>
      </c>
      <c r="W4" s="158"/>
      <c r="X4" s="158"/>
      <c r="Y4" s="158"/>
      <c r="Z4" s="158"/>
      <c r="AA4" s="158"/>
      <c r="AB4" s="158" t="s">
        <v>952</v>
      </c>
      <c r="AC4" s="158"/>
      <c r="AD4" s="158"/>
    </row>
    <row r="5" spans="1:30" ht="45.95" customHeight="1" thickTop="1" x14ac:dyDescent="0.25">
      <c r="A5" s="62" t="s">
        <v>369</v>
      </c>
      <c r="B5" s="62" t="s">
        <v>329</v>
      </c>
      <c r="C5" s="62" t="s">
        <v>317</v>
      </c>
      <c r="D5" s="62" t="s">
        <v>319</v>
      </c>
      <c r="E5" s="62" t="s">
        <v>987</v>
      </c>
      <c r="F5" s="62" t="s">
        <v>988</v>
      </c>
      <c r="G5" s="62" t="s">
        <v>989</v>
      </c>
      <c r="H5" s="62" t="s">
        <v>990</v>
      </c>
      <c r="I5" s="62" t="s">
        <v>991</v>
      </c>
      <c r="J5" s="62" t="s">
        <v>992</v>
      </c>
      <c r="K5" s="62" t="s">
        <v>993</v>
      </c>
      <c r="L5" s="62" t="s">
        <v>994</v>
      </c>
      <c r="M5" s="62" t="s">
        <v>995</v>
      </c>
      <c r="N5" s="62" t="s">
        <v>996</v>
      </c>
      <c r="O5" s="62" t="s">
        <v>997</v>
      </c>
      <c r="P5" s="62" t="s">
        <v>998</v>
      </c>
      <c r="Q5" s="62" t="s">
        <v>999</v>
      </c>
      <c r="R5" s="62" t="s">
        <v>1000</v>
      </c>
      <c r="S5" s="62" t="s">
        <v>1001</v>
      </c>
      <c r="T5" s="62" t="s">
        <v>1002</v>
      </c>
      <c r="U5" s="62" t="s">
        <v>1003</v>
      </c>
      <c r="V5" s="62" t="s">
        <v>1004</v>
      </c>
      <c r="W5" s="62" t="s">
        <v>1005</v>
      </c>
      <c r="X5" s="62" t="s">
        <v>1006</v>
      </c>
      <c r="Y5" s="62" t="s">
        <v>1007</v>
      </c>
      <c r="Z5" s="62" t="s">
        <v>1008</v>
      </c>
      <c r="AA5" s="62" t="s">
        <v>1009</v>
      </c>
      <c r="AB5" s="62" t="s">
        <v>975</v>
      </c>
      <c r="AC5" s="62" t="s">
        <v>1010</v>
      </c>
      <c r="AD5" s="62" t="s">
        <v>976</v>
      </c>
    </row>
    <row r="6" spans="1:30" x14ac:dyDescent="0.25">
      <c r="A6" s="63" t="s">
        <v>230</v>
      </c>
      <c r="B6" s="63" t="s">
        <v>156</v>
      </c>
      <c r="C6" s="63"/>
      <c r="D6" s="63" t="s">
        <v>348</v>
      </c>
      <c r="E6" s="63"/>
      <c r="F6" s="63"/>
      <c r="G6" s="63"/>
      <c r="H6" s="63"/>
      <c r="I6" s="63"/>
      <c r="J6" s="63"/>
      <c r="K6" s="63"/>
      <c r="L6" s="63" t="s">
        <v>31</v>
      </c>
      <c r="M6" s="63" t="s">
        <v>1011</v>
      </c>
      <c r="N6" s="63"/>
      <c r="O6" s="63"/>
      <c r="P6" s="63" t="s">
        <v>161</v>
      </c>
      <c r="Q6" s="63"/>
      <c r="R6" s="63" t="s">
        <v>1012</v>
      </c>
      <c r="S6" s="63"/>
      <c r="T6" s="63"/>
      <c r="U6" s="63"/>
      <c r="V6" s="63"/>
      <c r="W6" s="63"/>
      <c r="X6" s="63"/>
      <c r="Y6" s="63"/>
      <c r="Z6" s="63"/>
      <c r="AA6" s="63"/>
      <c r="AB6" s="63" t="s">
        <v>977</v>
      </c>
      <c r="AC6" s="64" t="s">
        <v>1013</v>
      </c>
      <c r="AD6" s="64"/>
    </row>
    <row r="7" spans="1:30" ht="30" x14ac:dyDescent="0.25">
      <c r="A7" s="63" t="s">
        <v>232</v>
      </c>
      <c r="B7" s="63" t="s">
        <v>62</v>
      </c>
      <c r="C7" s="63"/>
      <c r="D7" s="63" t="s">
        <v>168</v>
      </c>
      <c r="E7" s="63"/>
      <c r="F7" s="63"/>
      <c r="G7" s="63"/>
      <c r="H7" s="63"/>
      <c r="I7" s="63"/>
      <c r="J7" s="63"/>
      <c r="K7" s="63"/>
      <c r="L7" s="63" t="s">
        <v>1014</v>
      </c>
      <c r="M7" s="63" t="s">
        <v>1011</v>
      </c>
      <c r="N7" s="63"/>
      <c r="O7" s="63"/>
      <c r="P7" s="63" t="s">
        <v>161</v>
      </c>
      <c r="Q7" s="63"/>
      <c r="R7" s="63" t="s">
        <v>1012</v>
      </c>
      <c r="S7" s="63"/>
      <c r="T7" s="63"/>
      <c r="U7" s="63"/>
      <c r="V7" s="63"/>
      <c r="W7" s="63"/>
      <c r="X7" s="63"/>
      <c r="Y7" s="63"/>
      <c r="Z7" s="63"/>
      <c r="AA7" s="63"/>
      <c r="AB7" s="63" t="s">
        <v>977</v>
      </c>
      <c r="AC7" s="64" t="s">
        <v>1015</v>
      </c>
      <c r="AD7" s="64"/>
    </row>
    <row r="8" spans="1:30" x14ac:dyDescent="0.25">
      <c r="A8" s="63"/>
      <c r="B8" s="63" t="s">
        <v>228</v>
      </c>
      <c r="C8" s="63"/>
      <c r="D8" s="63"/>
      <c r="E8" s="63"/>
      <c r="F8" s="63"/>
      <c r="G8" s="63"/>
      <c r="H8" s="63"/>
      <c r="I8" s="63"/>
      <c r="J8" s="63"/>
      <c r="K8" s="63"/>
      <c r="L8" s="63"/>
      <c r="M8" s="63"/>
      <c r="N8" s="63"/>
      <c r="O8" s="63"/>
      <c r="P8" s="63" t="s">
        <v>161</v>
      </c>
      <c r="Q8" s="63"/>
      <c r="R8" s="63" t="s">
        <v>1012</v>
      </c>
      <c r="S8" s="63"/>
      <c r="T8" s="63"/>
      <c r="U8" s="63"/>
      <c r="V8" s="63"/>
      <c r="W8" s="63"/>
      <c r="X8" s="63"/>
      <c r="Y8" s="63"/>
      <c r="Z8" s="63"/>
      <c r="AA8" s="63"/>
      <c r="AB8" s="63" t="s">
        <v>977</v>
      </c>
      <c r="AC8" s="64"/>
      <c r="AD8" s="64"/>
    </row>
    <row r="9" spans="1:30" ht="45" x14ac:dyDescent="0.25">
      <c r="A9" s="63" t="s">
        <v>640</v>
      </c>
      <c r="B9" s="63" t="s">
        <v>289</v>
      </c>
      <c r="C9" s="63" t="s">
        <v>641</v>
      </c>
      <c r="D9" s="63" t="s">
        <v>348</v>
      </c>
      <c r="E9" s="63" t="s">
        <v>648</v>
      </c>
      <c r="F9" s="63" t="s">
        <v>1016</v>
      </c>
      <c r="G9" s="63"/>
      <c r="H9" s="63"/>
      <c r="I9" s="63"/>
      <c r="J9" s="63"/>
      <c r="K9" s="63"/>
      <c r="L9" s="63" t="s">
        <v>31</v>
      </c>
      <c r="M9" s="63" t="s">
        <v>1011</v>
      </c>
      <c r="N9" s="63"/>
      <c r="O9" s="63"/>
      <c r="P9" s="63" t="s">
        <v>161</v>
      </c>
      <c r="Q9" s="63"/>
      <c r="R9" s="63" t="s">
        <v>1012</v>
      </c>
      <c r="S9" s="63"/>
      <c r="T9" s="63"/>
      <c r="U9" s="63" t="s">
        <v>1017</v>
      </c>
      <c r="V9" s="63"/>
      <c r="W9" s="63"/>
      <c r="X9" s="63" t="s">
        <v>161</v>
      </c>
      <c r="Y9" s="63"/>
      <c r="Z9" s="63"/>
      <c r="AA9" s="63"/>
      <c r="AB9" s="63" t="s">
        <v>977</v>
      </c>
      <c r="AC9" s="64" t="s">
        <v>1018</v>
      </c>
      <c r="AD9" s="64"/>
    </row>
    <row r="10" spans="1:30" ht="60" x14ac:dyDescent="0.25">
      <c r="A10" s="63" t="s">
        <v>978</v>
      </c>
      <c r="B10" s="63" t="s">
        <v>286</v>
      </c>
      <c r="C10" s="63" t="s">
        <v>979</v>
      </c>
      <c r="D10" s="63" t="s">
        <v>168</v>
      </c>
      <c r="E10" s="63"/>
      <c r="F10" s="63" t="s">
        <v>1016</v>
      </c>
      <c r="G10" s="63"/>
      <c r="H10" s="63"/>
      <c r="I10" s="63"/>
      <c r="J10" s="63"/>
      <c r="K10" s="63"/>
      <c r="L10" s="63" t="s">
        <v>1019</v>
      </c>
      <c r="M10" s="63" t="s">
        <v>1020</v>
      </c>
      <c r="N10" s="63" t="s">
        <v>1021</v>
      </c>
      <c r="O10" s="63"/>
      <c r="P10" s="63" t="s">
        <v>161</v>
      </c>
      <c r="Q10" s="63"/>
      <c r="R10" s="63" t="s">
        <v>1012</v>
      </c>
      <c r="S10" s="63" t="s">
        <v>1022</v>
      </c>
      <c r="T10" s="63" t="s">
        <v>1023</v>
      </c>
      <c r="U10" s="63" t="s">
        <v>1024</v>
      </c>
      <c r="V10" s="63" t="s">
        <v>1025</v>
      </c>
      <c r="W10" s="63"/>
      <c r="X10" s="63" t="s">
        <v>161</v>
      </c>
      <c r="Y10" s="63" t="s">
        <v>161</v>
      </c>
      <c r="Z10" s="63"/>
      <c r="AA10" s="63"/>
      <c r="AB10" s="63" t="s">
        <v>1026</v>
      </c>
      <c r="AC10" s="64" t="s">
        <v>1027</v>
      </c>
      <c r="AD10" s="64"/>
    </row>
    <row r="11" spans="1:30" x14ac:dyDescent="0.25">
      <c r="A11" s="65" t="s">
        <v>413</v>
      </c>
      <c r="B11" s="65" t="s">
        <v>287</v>
      </c>
      <c r="C11" s="65" t="s">
        <v>1029</v>
      </c>
      <c r="D11" s="65"/>
      <c r="E11" s="65"/>
      <c r="F11" s="65"/>
      <c r="G11" s="65"/>
      <c r="H11" s="65"/>
      <c r="I11" s="65"/>
      <c r="J11" s="65"/>
      <c r="K11" s="65"/>
      <c r="L11" s="65"/>
      <c r="M11" s="65"/>
      <c r="N11" s="65"/>
      <c r="O11" s="65"/>
      <c r="P11" s="65"/>
      <c r="Q11" s="65"/>
      <c r="R11" s="65"/>
      <c r="S11" s="65"/>
      <c r="T11" s="65"/>
      <c r="U11" s="65"/>
      <c r="V11" s="65"/>
      <c r="W11" s="65"/>
      <c r="X11" s="65"/>
      <c r="Y11" s="65"/>
      <c r="Z11" s="65"/>
      <c r="AA11" s="65"/>
      <c r="AB11" s="65"/>
      <c r="AC11" s="66"/>
      <c r="AD11" s="66"/>
    </row>
    <row r="12" spans="1:30" x14ac:dyDescent="0.25">
      <c r="A12" s="63"/>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4"/>
      <c r="AD12" s="64"/>
    </row>
    <row r="13" spans="1:30" x14ac:dyDescent="0.25">
      <c r="A13" s="63"/>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4"/>
      <c r="AD13" s="64"/>
    </row>
    <row r="14" spans="1:30" x14ac:dyDescent="0.25">
      <c r="A14" s="63"/>
      <c r="B14" s="63"/>
      <c r="C14" s="63"/>
      <c r="D14" s="63"/>
      <c r="E14" s="63"/>
      <c r="F14" s="63"/>
      <c r="G14" s="63"/>
      <c r="H14" s="63"/>
      <c r="I14" s="63"/>
      <c r="J14" s="63"/>
      <c r="K14" s="63"/>
      <c r="L14" s="63"/>
      <c r="M14" s="63"/>
      <c r="N14" s="63"/>
      <c r="O14" s="63"/>
      <c r="P14" s="63"/>
      <c r="Q14" s="63"/>
      <c r="R14" s="63"/>
      <c r="S14" s="63"/>
      <c r="T14" s="63"/>
      <c r="U14" s="63"/>
      <c r="V14" s="63"/>
      <c r="W14" s="63"/>
      <c r="X14" s="63"/>
      <c r="Y14" s="63"/>
      <c r="Z14" s="63"/>
      <c r="AA14" s="63"/>
      <c r="AB14" s="63"/>
      <c r="AC14" s="64"/>
      <c r="AD14" s="64"/>
    </row>
    <row r="15" spans="1:30" x14ac:dyDescent="0.25">
      <c r="A15" s="63"/>
      <c r="B15" s="63"/>
      <c r="C15" s="63"/>
      <c r="D15" s="63"/>
      <c r="E15" s="63"/>
      <c r="F15" s="63"/>
      <c r="G15" s="63"/>
      <c r="H15" s="63"/>
      <c r="I15" s="63"/>
      <c r="J15" s="63"/>
      <c r="K15" s="63"/>
      <c r="L15" s="63"/>
      <c r="M15" s="63"/>
      <c r="N15" s="63"/>
      <c r="O15" s="63"/>
      <c r="P15" s="63"/>
      <c r="Q15" s="63"/>
      <c r="R15" s="63"/>
      <c r="S15" s="63"/>
      <c r="T15" s="63"/>
      <c r="U15" s="63"/>
      <c r="V15" s="63"/>
      <c r="W15" s="63"/>
      <c r="X15" s="63"/>
      <c r="Y15" s="63"/>
      <c r="Z15" s="63"/>
      <c r="AA15" s="63"/>
      <c r="AB15" s="63"/>
      <c r="AC15" s="64"/>
      <c r="AD15" s="64"/>
    </row>
    <row r="16" spans="1:30" x14ac:dyDescent="0.25">
      <c r="A16" s="63"/>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4"/>
      <c r="AD16" s="64"/>
    </row>
    <row r="17" spans="1:30" x14ac:dyDescent="0.25">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4"/>
      <c r="AD17" s="64"/>
    </row>
    <row r="18" spans="1:30" x14ac:dyDescent="0.25">
      <c r="A18" s="63"/>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4"/>
      <c r="AD18" s="64"/>
    </row>
    <row r="19" spans="1:30" x14ac:dyDescent="0.25">
      <c r="A19" s="63"/>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4"/>
      <c r="AD19" s="64"/>
    </row>
    <row r="20" spans="1:30" x14ac:dyDescent="0.25">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c r="AA20" s="63"/>
      <c r="AB20" s="63"/>
      <c r="AC20" s="64"/>
      <c r="AD20" s="64"/>
    </row>
    <row r="21" spans="1:30" x14ac:dyDescent="0.25">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4"/>
      <c r="AD21" s="64"/>
    </row>
    <row r="22" spans="1:30" x14ac:dyDescent="0.25">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4"/>
      <c r="AD22" s="64"/>
    </row>
    <row r="23" spans="1:30" x14ac:dyDescent="0.25">
      <c r="A23" s="63"/>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4"/>
      <c r="AD23" s="64"/>
    </row>
    <row r="24" spans="1:30" x14ac:dyDescent="0.25">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3"/>
      <c r="AC24" s="64"/>
      <c r="AD24" s="64"/>
    </row>
    <row r="25" spans="1:30" x14ac:dyDescent="0.25">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4"/>
      <c r="AD25" s="64"/>
    </row>
    <row r="26" spans="1:30" x14ac:dyDescent="0.25">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4"/>
      <c r="AD26" s="64"/>
    </row>
    <row r="27" spans="1:30" x14ac:dyDescent="0.25">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4"/>
      <c r="AD27" s="64"/>
    </row>
    <row r="28" spans="1:30" x14ac:dyDescent="0.25">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4"/>
      <c r="AD28" s="64"/>
    </row>
    <row r="29" spans="1:30" x14ac:dyDescent="0.25">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4"/>
      <c r="AD29" s="64"/>
    </row>
    <row r="30" spans="1:30" x14ac:dyDescent="0.25">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4"/>
      <c r="AD30" s="64"/>
    </row>
    <row r="31" spans="1:30" x14ac:dyDescent="0.25">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4"/>
      <c r="AD31" s="64"/>
    </row>
    <row r="32" spans="1:30" x14ac:dyDescent="0.25">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4"/>
      <c r="AD32" s="64"/>
    </row>
    <row r="33" spans="1:30" x14ac:dyDescent="0.25">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4"/>
      <c r="AD33" s="64"/>
    </row>
    <row r="34" spans="1:30" x14ac:dyDescent="0.25">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4"/>
      <c r="AD34" s="64"/>
    </row>
    <row r="35" spans="1:30" x14ac:dyDescent="0.25">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c r="AA35" s="63"/>
      <c r="AB35" s="63"/>
      <c r="AC35" s="64"/>
      <c r="AD35" s="64"/>
    </row>
    <row r="36" spans="1:30" x14ac:dyDescent="0.25">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4"/>
      <c r="AD36" s="64"/>
    </row>
    <row r="37" spans="1:30" x14ac:dyDescent="0.25">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4"/>
      <c r="AD37" s="64"/>
    </row>
    <row r="38" spans="1:30" x14ac:dyDescent="0.25">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4"/>
      <c r="AD38" s="64"/>
    </row>
    <row r="39" spans="1:30" x14ac:dyDescent="0.25">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4"/>
      <c r="AD39" s="64"/>
    </row>
    <row r="40" spans="1:30" x14ac:dyDescent="0.25">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4"/>
      <c r="AD40" s="64"/>
    </row>
    <row r="41" spans="1:30" x14ac:dyDescent="0.25">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4"/>
      <c r="AD41" s="64"/>
    </row>
    <row r="42" spans="1:30" x14ac:dyDescent="0.25">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4"/>
      <c r="AD42" s="64"/>
    </row>
    <row r="43" spans="1:30" x14ac:dyDescent="0.25">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4"/>
      <c r="AD43" s="64"/>
    </row>
    <row r="44" spans="1:30" x14ac:dyDescent="0.25">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4"/>
      <c r="AD44" s="64"/>
    </row>
    <row r="45" spans="1:30" x14ac:dyDescent="0.25">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4"/>
      <c r="AD45" s="64"/>
    </row>
    <row r="46" spans="1:30" x14ac:dyDescent="0.25">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4"/>
      <c r="AD46" s="64"/>
    </row>
    <row r="47" spans="1:30" x14ac:dyDescent="0.25">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c r="AB47" s="63"/>
      <c r="AC47" s="64"/>
      <c r="AD47" s="64"/>
    </row>
    <row r="48" spans="1:30" x14ac:dyDescent="0.25">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4"/>
      <c r="AD48" s="64"/>
    </row>
    <row r="49" spans="1:30" x14ac:dyDescent="0.25">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4"/>
      <c r="AD49" s="64"/>
    </row>
    <row r="50" spans="1:30" x14ac:dyDescent="0.25">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c r="AA50" s="63"/>
      <c r="AB50" s="63"/>
      <c r="AC50" s="64"/>
      <c r="AD50" s="64"/>
    </row>
    <row r="51" spans="1:30" x14ac:dyDescent="0.25">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c r="AA51" s="63"/>
      <c r="AB51" s="63"/>
      <c r="AC51" s="64"/>
      <c r="AD51" s="64"/>
    </row>
    <row r="52" spans="1:30" x14ac:dyDescent="0.25">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4"/>
      <c r="AD52" s="64"/>
    </row>
    <row r="53" spans="1:30" x14ac:dyDescent="0.25">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4"/>
      <c r="AD53" s="64"/>
    </row>
    <row r="54" spans="1:30" x14ac:dyDescent="0.25">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4"/>
      <c r="AD54" s="64"/>
    </row>
    <row r="55" spans="1:30" x14ac:dyDescent="0.25">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4"/>
      <c r="AD55" s="64"/>
    </row>
    <row r="56" spans="1:30" x14ac:dyDescent="0.25">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4"/>
      <c r="AD56" s="64"/>
    </row>
    <row r="57" spans="1:30" x14ac:dyDescent="0.25">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4"/>
      <c r="AD57" s="64"/>
    </row>
    <row r="58" spans="1:30" x14ac:dyDescent="0.25">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4"/>
      <c r="AD58" s="64"/>
    </row>
    <row r="59" spans="1:30" x14ac:dyDescent="0.25">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4"/>
      <c r="AD59" s="64"/>
    </row>
    <row r="60" spans="1:30" x14ac:dyDescent="0.25">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4"/>
      <c r="AD60" s="64"/>
    </row>
    <row r="61" spans="1:30" x14ac:dyDescent="0.25">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4"/>
      <c r="AD61" s="64"/>
    </row>
    <row r="62" spans="1:30" x14ac:dyDescent="0.25">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4"/>
      <c r="AD62" s="64"/>
    </row>
    <row r="63" spans="1:30" x14ac:dyDescent="0.25">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4"/>
      <c r="AD63" s="64"/>
    </row>
    <row r="64" spans="1:30" x14ac:dyDescent="0.25">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4"/>
      <c r="AD64" s="64"/>
    </row>
    <row r="65" spans="1:30" x14ac:dyDescent="0.25">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4"/>
      <c r="AD65" s="64"/>
    </row>
    <row r="66" spans="1:30" x14ac:dyDescent="0.25">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4"/>
      <c r="AD66" s="64"/>
    </row>
    <row r="67" spans="1:30" x14ac:dyDescent="0.25">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4"/>
      <c r="AD67" s="64"/>
    </row>
    <row r="68" spans="1:30" x14ac:dyDescent="0.25">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4"/>
      <c r="AD68" s="64"/>
    </row>
    <row r="69" spans="1:30" x14ac:dyDescent="0.25">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4"/>
      <c r="AD69" s="64"/>
    </row>
    <row r="70" spans="1:30" x14ac:dyDescent="0.25">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4"/>
      <c r="AD70" s="64"/>
    </row>
    <row r="71" spans="1:30" x14ac:dyDescent="0.25">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4"/>
      <c r="AD71" s="64"/>
    </row>
    <row r="72" spans="1:30" x14ac:dyDescent="0.25">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4"/>
      <c r="AD72" s="64"/>
    </row>
    <row r="73" spans="1:30" x14ac:dyDescent="0.25">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4"/>
      <c r="AD73" s="64"/>
    </row>
    <row r="74" spans="1:30" x14ac:dyDescent="0.25">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4"/>
      <c r="AD74" s="64"/>
    </row>
    <row r="75" spans="1:30" x14ac:dyDescent="0.25">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4"/>
      <c r="AD75" s="64"/>
    </row>
    <row r="76" spans="1:30" x14ac:dyDescent="0.25">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4"/>
      <c r="AD76" s="64"/>
    </row>
    <row r="77" spans="1:30" x14ac:dyDescent="0.25">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4"/>
      <c r="AD77" s="64"/>
    </row>
    <row r="78" spans="1:30" x14ac:dyDescent="0.25">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4"/>
      <c r="AD78" s="64"/>
    </row>
    <row r="79" spans="1:30" x14ac:dyDescent="0.25">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4"/>
      <c r="AD79" s="64"/>
    </row>
    <row r="80" spans="1:30" x14ac:dyDescent="0.25">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4"/>
      <c r="AD80" s="64"/>
    </row>
  </sheetData>
  <mergeCells count="9">
    <mergeCell ref="A1:AD1"/>
    <mergeCell ref="A2:AD2"/>
    <mergeCell ref="A3:AD3"/>
    <mergeCell ref="A4:E4"/>
    <mergeCell ref="F4:K4"/>
    <mergeCell ref="L4:R4"/>
    <mergeCell ref="S4:U4"/>
    <mergeCell ref="V4:AA4"/>
    <mergeCell ref="AB4:AD4"/>
  </mergeCells>
  <dataValidations count="5">
    <dataValidation type="list" sqref="AB6:AB80" xr:uid="{46954BDE-F0D7-4A57-809A-A0B9159E679E}">
      <formula1>"Needs Research,Draft,Reviewed,Gameplay Assigned"</formula1>
    </dataValidation>
    <dataValidation type="list" sqref="Q6:Q80" xr:uid="{95B28837-D18B-403C-A580-61AED09419F4}">
      <formula1>"Rare,Low,Moderate,High,Very High,Variable"</formula1>
    </dataValidation>
    <dataValidation type="list" sqref="P6:P80" xr:uid="{693C95EC-7BFA-415C-B006-CAAFB07E8099}">
      <formula1>"Yes,No,Conditional,Planned,Unknown"</formula1>
    </dataValidation>
    <dataValidation type="list" sqref="N6:N80" xr:uid="{241E7288-2F72-46E6-92C8-9EB0DD665FB9}">
      <formula1>"Wind,Gravity,Animal,Water,Explosive,Mixed,Other,Unknown"</formula1>
    </dataValidation>
    <dataValidation type="list" sqref="D6:D80" xr:uid="{CA021977-B9E6-49E1-9F9D-505425C9A7E3}">
      <formula1>"Evergreen,Deciduous,Semi-evergreen,Semi-deciduous,Variable,Unknown"</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982F2-292E-4426-B0E1-48566068DB58}">
  <dimension ref="A1:F49"/>
  <sheetViews>
    <sheetView workbookViewId="0">
      <selection activeCell="G24" sqref="G24"/>
    </sheetView>
  </sheetViews>
  <sheetFormatPr defaultRowHeight="15" x14ac:dyDescent="0.25"/>
  <cols>
    <col min="1" max="1" width="29.140625" customWidth="1"/>
    <col min="2" max="2" width="10.5703125" style="13" customWidth="1"/>
    <col min="3" max="3" width="16.5703125" style="13" customWidth="1"/>
    <col min="4" max="4" width="10" customWidth="1"/>
    <col min="5" max="5" width="18" style="13" customWidth="1"/>
    <col min="6" max="6" width="11.85546875" customWidth="1"/>
  </cols>
  <sheetData>
    <row r="1" spans="1:6" ht="24" x14ac:dyDescent="0.25">
      <c r="A1" s="98" t="s">
        <v>1692</v>
      </c>
      <c r="B1" s="98"/>
      <c r="C1" s="98"/>
      <c r="D1" s="98"/>
      <c r="E1" s="98"/>
      <c r="F1" s="98"/>
    </row>
    <row r="2" spans="1:6" ht="20.25" thickBot="1" x14ac:dyDescent="0.3">
      <c r="A2" s="147" t="s">
        <v>144</v>
      </c>
      <c r="B2" s="147"/>
      <c r="C2" s="147"/>
      <c r="D2" s="147"/>
      <c r="E2" s="147"/>
      <c r="F2" s="147"/>
    </row>
    <row r="3" spans="1:6" ht="18.75" thickTop="1" thickBot="1" x14ac:dyDescent="0.3">
      <c r="A3" s="100" t="s">
        <v>145</v>
      </c>
      <c r="B3" s="100"/>
      <c r="C3" s="100"/>
      <c r="D3" s="100"/>
      <c r="E3" s="100"/>
      <c r="F3" s="100"/>
    </row>
    <row r="4" spans="1:6" ht="15.75" thickTop="1" x14ac:dyDescent="0.25">
      <c r="A4" s="84" t="s">
        <v>1693</v>
      </c>
      <c r="B4" s="85" t="s">
        <v>1619</v>
      </c>
      <c r="C4" s="85" t="s">
        <v>1813</v>
      </c>
      <c r="D4" s="85"/>
      <c r="E4" s="88" t="s">
        <v>1694</v>
      </c>
      <c r="F4" s="85" t="s">
        <v>1620</v>
      </c>
    </row>
    <row r="5" spans="1:6" x14ac:dyDescent="0.25">
      <c r="A5" s="83" t="s">
        <v>1646</v>
      </c>
      <c r="B5" s="82">
        <f>COUNTIF('New Trees'!$H$6:$H$153,'Hook Analysis'!A5)+COUNTIF('Updated Trees'!$H$6:$H$50,'Hook Analysis'!A5)</f>
        <v>1</v>
      </c>
      <c r="C5" s="87">
        <f>(B5/F$5)*100</f>
        <v>0.58139534883720934</v>
      </c>
      <c r="D5" s="83"/>
      <c r="E5" s="89" t="s">
        <v>1691</v>
      </c>
      <c r="F5" s="82">
        <f>COUNTA('New Trees'!B6:B153)+COUNTA('Updated Trees'!B6:B50)</f>
        <v>172</v>
      </c>
    </row>
    <row r="6" spans="1:6" x14ac:dyDescent="0.25">
      <c r="A6" s="83" t="s">
        <v>1647</v>
      </c>
      <c r="B6" s="82">
        <f>COUNTIF('New Trees'!$H$6:$H$153,'Hook Analysis'!A6)+COUNTIF('Updated Trees'!$H$6:$H$50,'Hook Analysis'!A6)</f>
        <v>2</v>
      </c>
      <c r="C6" s="87">
        <f>(B6/F$5)*100</f>
        <v>1.1627906976744187</v>
      </c>
      <c r="E6" s="89" t="s">
        <v>1807</v>
      </c>
      <c r="F6" s="82">
        <f>COUNTA('New Trees'!B6:B153)</f>
        <v>148</v>
      </c>
    </row>
    <row r="7" spans="1:6" x14ac:dyDescent="0.25">
      <c r="A7" s="83" t="s">
        <v>1648</v>
      </c>
      <c r="B7" s="82">
        <f>COUNTIF('New Trees'!$H$6:$H$153,'Hook Analysis'!A7)+COUNTIF('Updated Trees'!$H$6:$H$50,'Hook Analysis'!A7)</f>
        <v>3</v>
      </c>
      <c r="C7" s="87">
        <f t="shared" ref="C7:C49" si="0">(B7/F$5)*100</f>
        <v>1.7441860465116279</v>
      </c>
      <c r="E7" s="89" t="s">
        <v>1808</v>
      </c>
      <c r="F7" s="82">
        <f>COUNTA('Updated Trees'!B6:B50)</f>
        <v>24</v>
      </c>
    </row>
    <row r="8" spans="1:6" x14ac:dyDescent="0.25">
      <c r="A8" s="83" t="s">
        <v>1649</v>
      </c>
      <c r="B8" s="82">
        <f>COUNTIF('New Trees'!$H$6:$H$153,'Hook Analysis'!A8)+COUNTIF('Updated Trees'!$H$6:$H$50,'Hook Analysis'!A8)</f>
        <v>2</v>
      </c>
      <c r="C8" s="87">
        <f t="shared" si="0"/>
        <v>1.1627906976744187</v>
      </c>
      <c r="E8" s="89" t="s">
        <v>366</v>
      </c>
      <c r="F8" s="82">
        <f>COUNTIF('New Trees'!O$6:O$153,'Hook Analysis'!E8)+COUNTIF('Updated Trees'!O$6:O$50,'Hook Analysis'!E8)</f>
        <v>100</v>
      </c>
    </row>
    <row r="9" spans="1:6" x14ac:dyDescent="0.25">
      <c r="A9" s="83" t="s">
        <v>1650</v>
      </c>
      <c r="B9" s="82">
        <f>COUNTIF('New Trees'!$H$6:$H$153,'Hook Analysis'!A9)+COUNTIF('Updated Trees'!$H$6:$H$50,'Hook Analysis'!A9)</f>
        <v>3</v>
      </c>
      <c r="C9" s="87">
        <f t="shared" si="0"/>
        <v>1.7441860465116279</v>
      </c>
      <c r="E9" s="89" t="s">
        <v>367</v>
      </c>
      <c r="F9" s="82">
        <f>COUNTIF('New Trees'!O$6:O$153,'Hook Analysis'!E9)+COUNTIF('Updated Trees'!O$6:O$50,'Hook Analysis'!E9)</f>
        <v>42</v>
      </c>
    </row>
    <row r="10" spans="1:6" x14ac:dyDescent="0.25">
      <c r="A10" s="83" t="s">
        <v>1651</v>
      </c>
      <c r="B10" s="82">
        <f>COUNTIF('New Trees'!$H$6:$H$153,'Hook Analysis'!A10)+COUNTIF('Updated Trees'!$H$6:$H$50,'Hook Analysis'!A10)</f>
        <v>2</v>
      </c>
      <c r="C10" s="87">
        <f t="shared" si="0"/>
        <v>1.1627906976744187</v>
      </c>
      <c r="E10" s="89" t="s">
        <v>368</v>
      </c>
      <c r="F10" s="82">
        <f>COUNTIF('New Trees'!O$6:O$153,'Hook Analysis'!E10)+COUNTIF('Updated Trees'!O$6:O$50,'Hook Analysis'!E10)</f>
        <v>26</v>
      </c>
    </row>
    <row r="11" spans="1:6" x14ac:dyDescent="0.25">
      <c r="A11" s="83" t="s">
        <v>1652</v>
      </c>
      <c r="B11" s="82">
        <f>COUNTIF('New Trees'!$H$6:$H$153,'Hook Analysis'!A11)+COUNTIF('Updated Trees'!$H$6:$H$50,'Hook Analysis'!A11)</f>
        <v>3</v>
      </c>
      <c r="C11" s="87">
        <f t="shared" si="0"/>
        <v>1.7441860465116279</v>
      </c>
      <c r="E11" s="89" t="s">
        <v>60</v>
      </c>
      <c r="F11" s="82">
        <f>COUNTIF('New Trees'!O$6:O$153,'Hook Analysis'!E11)+COUNTIF('Updated Trees'!O$6:O$50,'Hook Analysis'!E11)</f>
        <v>4</v>
      </c>
    </row>
    <row r="12" spans="1:6" x14ac:dyDescent="0.25">
      <c r="A12" s="83" t="s">
        <v>1653</v>
      </c>
      <c r="B12" s="82">
        <f>COUNTIF('New Trees'!$H$6:$H$153,'Hook Analysis'!A12)+COUNTIF('Updated Trees'!$H$6:$H$50,'Hook Analysis'!A12)</f>
        <v>5</v>
      </c>
      <c r="C12" s="87">
        <f t="shared" si="0"/>
        <v>2.9069767441860463</v>
      </c>
      <c r="E12" s="89"/>
      <c r="F12" s="82"/>
    </row>
    <row r="13" spans="1:6" x14ac:dyDescent="0.25">
      <c r="A13" s="83" t="s">
        <v>1654</v>
      </c>
      <c r="B13" s="82">
        <f>COUNTIF('New Trees'!$H$6:$H$153,'Hook Analysis'!A13)+COUNTIF('Updated Trees'!$H$6:$H$50,'Hook Analysis'!A13)</f>
        <v>2</v>
      </c>
      <c r="C13" s="87">
        <f t="shared" si="0"/>
        <v>1.1627906976744187</v>
      </c>
      <c r="E13" s="89" t="s">
        <v>1809</v>
      </c>
      <c r="F13" s="82">
        <f>COUNTIF('New Trees'!S8:S155,"Complete")+COUNTIF('Updated Trees'!T8:T52,"Complete")</f>
        <v>0</v>
      </c>
    </row>
    <row r="14" spans="1:6" x14ac:dyDescent="0.25">
      <c r="A14" s="83" t="s">
        <v>1655</v>
      </c>
      <c r="B14" s="82">
        <f>COUNTIF('New Trees'!$H$6:$H$153,'Hook Analysis'!A14)+COUNTIF('Updated Trees'!$H$6:$H$50,'Hook Analysis'!A14)</f>
        <v>2</v>
      </c>
      <c r="C14" s="87">
        <f t="shared" si="0"/>
        <v>1.1627906976744187</v>
      </c>
      <c r="E14" s="89" t="s">
        <v>1810</v>
      </c>
      <c r="F14" s="82">
        <f>COUNTIF('New Trees'!S8:S155,"Complete")</f>
        <v>0</v>
      </c>
    </row>
    <row r="15" spans="1:6" x14ac:dyDescent="0.25">
      <c r="A15" s="83" t="s">
        <v>1656</v>
      </c>
      <c r="B15" s="82">
        <f>COUNTIF('New Trees'!$H$6:$H$153,'Hook Analysis'!A15)+COUNTIF('Updated Trees'!$H$6:$H$50,'Hook Analysis'!A15)</f>
        <v>1</v>
      </c>
      <c r="C15" s="87">
        <f t="shared" si="0"/>
        <v>0.58139534883720934</v>
      </c>
      <c r="E15" s="89" t="s">
        <v>1811</v>
      </c>
      <c r="F15" s="82">
        <f>COUNTIF('Updated Trees'!T8:T52,"Complete")</f>
        <v>0</v>
      </c>
    </row>
    <row r="16" spans="1:6" x14ac:dyDescent="0.25">
      <c r="A16" s="83" t="s">
        <v>1657</v>
      </c>
      <c r="B16" s="82">
        <f>COUNTIF('New Trees'!$H$6:$H$153,'Hook Analysis'!A16)+COUNTIF('Updated Trees'!$H$6:$H$50,'Hook Analysis'!A16)</f>
        <v>4</v>
      </c>
      <c r="C16" s="87">
        <f t="shared" si="0"/>
        <v>2.3255813953488373</v>
      </c>
      <c r="E16" s="82"/>
      <c r="F16" s="14"/>
    </row>
    <row r="17" spans="1:6" x14ac:dyDescent="0.25">
      <c r="A17" s="83" t="s">
        <v>1658</v>
      </c>
      <c r="B17" s="82">
        <f>COUNTIF('New Trees'!$H$6:$H$153,'Hook Analysis'!A17)+COUNTIF('Updated Trees'!$H$6:$H$50,'Hook Analysis'!A17)</f>
        <v>15</v>
      </c>
      <c r="C17" s="87">
        <f t="shared" si="0"/>
        <v>8.720930232558139</v>
      </c>
      <c r="E17" s="89" t="s">
        <v>1812</v>
      </c>
      <c r="F17" s="82">
        <f>COUNTIF('New Trees'!S$6:S$153,"In-Game")+COUNTIF('Updated Trees'!T$6:T$50,"In-Game")</f>
        <v>12</v>
      </c>
    </row>
    <row r="18" spans="1:6" x14ac:dyDescent="0.25">
      <c r="A18" s="83" t="s">
        <v>1659</v>
      </c>
      <c r="B18" s="82">
        <f>COUNTIF('New Trees'!$H$6:$H$153,'Hook Analysis'!A18)+COUNTIF('Updated Trees'!$H$6:$H$50,'Hook Analysis'!A18)</f>
        <v>20</v>
      </c>
      <c r="C18" s="87">
        <f t="shared" si="0"/>
        <v>11.627906976744185</v>
      </c>
      <c r="E18" s="89" t="s">
        <v>1810</v>
      </c>
      <c r="F18" s="82">
        <f>COUNTIF('New Trees'!S$6:S$153,"In-Game")</f>
        <v>0</v>
      </c>
    </row>
    <row r="19" spans="1:6" x14ac:dyDescent="0.25">
      <c r="A19" s="83" t="s">
        <v>1660</v>
      </c>
      <c r="B19" s="82">
        <f>COUNTIF('New Trees'!$H$6:$H$153,'Hook Analysis'!A19)+COUNTIF('Updated Trees'!$H$6:$H$50,'Hook Analysis'!A19)</f>
        <v>8</v>
      </c>
      <c r="C19" s="87">
        <f t="shared" si="0"/>
        <v>4.6511627906976747</v>
      </c>
      <c r="E19" s="89" t="s">
        <v>1811</v>
      </c>
      <c r="F19" s="82">
        <f>COUNTIF('Updated Trees'!T$6:T$50,"In-Game")</f>
        <v>12</v>
      </c>
    </row>
    <row r="20" spans="1:6" x14ac:dyDescent="0.25">
      <c r="A20" s="83" t="s">
        <v>1661</v>
      </c>
      <c r="B20" s="82">
        <f>COUNTIF('New Trees'!$H$6:$H$153,'Hook Analysis'!A20)+COUNTIF('Updated Trees'!$H$6:$H$50,'Hook Analysis'!A20)</f>
        <v>4</v>
      </c>
      <c r="C20" s="87">
        <f t="shared" si="0"/>
        <v>2.3255813953488373</v>
      </c>
      <c r="E20" s="82"/>
      <c r="F20" s="14"/>
    </row>
    <row r="21" spans="1:6" x14ac:dyDescent="0.25">
      <c r="A21" s="83" t="s">
        <v>1662</v>
      </c>
      <c r="B21" s="82">
        <f>COUNTIF('New Trees'!$H$6:$H$153,'Hook Analysis'!A21)+COUNTIF('Updated Trees'!$H$6:$H$50,'Hook Analysis'!A21)</f>
        <v>4</v>
      </c>
      <c r="C21" s="87">
        <f t="shared" si="0"/>
        <v>2.3255813953488373</v>
      </c>
      <c r="E21" s="82"/>
      <c r="F21" s="14"/>
    </row>
    <row r="22" spans="1:6" x14ac:dyDescent="0.25">
      <c r="A22" s="83" t="s">
        <v>1663</v>
      </c>
      <c r="B22" s="82">
        <f>COUNTIF('New Trees'!$H$6:$H$153,'Hook Analysis'!A22)+COUNTIF('Updated Trees'!$H$6:$H$50,'Hook Analysis'!A22)</f>
        <v>3</v>
      </c>
      <c r="C22" s="87">
        <f t="shared" si="0"/>
        <v>1.7441860465116279</v>
      </c>
      <c r="E22" s="82"/>
      <c r="F22" s="14"/>
    </row>
    <row r="23" spans="1:6" x14ac:dyDescent="0.25">
      <c r="A23" s="83" t="s">
        <v>1664</v>
      </c>
      <c r="B23" s="82">
        <f>COUNTIF('New Trees'!$H$6:$H$153,'Hook Analysis'!A23)+COUNTIF('Updated Trees'!$H$6:$H$50,'Hook Analysis'!A23)</f>
        <v>1</v>
      </c>
      <c r="C23" s="87">
        <f t="shared" si="0"/>
        <v>0.58139534883720934</v>
      </c>
      <c r="E23" s="82"/>
      <c r="F23" s="14"/>
    </row>
    <row r="24" spans="1:6" x14ac:dyDescent="0.25">
      <c r="A24" s="83" t="s">
        <v>1665</v>
      </c>
      <c r="B24" s="82">
        <f>COUNTIF('New Trees'!$H$6:$H$153,'Hook Analysis'!A24)+COUNTIF('Updated Trees'!$H$6:$H$50,'Hook Analysis'!A24)</f>
        <v>3</v>
      </c>
      <c r="C24" s="87">
        <f t="shared" si="0"/>
        <v>1.7441860465116279</v>
      </c>
      <c r="E24" s="82"/>
      <c r="F24" s="14"/>
    </row>
    <row r="25" spans="1:6" x14ac:dyDescent="0.25">
      <c r="A25" s="83" t="s">
        <v>1666</v>
      </c>
      <c r="B25" s="82">
        <f>COUNTIF('New Trees'!$H$6:$H$153,'Hook Analysis'!A25)+COUNTIF('Updated Trees'!$H$6:$H$50,'Hook Analysis'!A25)</f>
        <v>3</v>
      </c>
      <c r="C25" s="87">
        <f t="shared" si="0"/>
        <v>1.7441860465116279</v>
      </c>
      <c r="E25" s="82"/>
      <c r="F25" s="14"/>
    </row>
    <row r="26" spans="1:6" x14ac:dyDescent="0.25">
      <c r="A26" s="83" t="s">
        <v>1667</v>
      </c>
      <c r="B26" s="82">
        <f>COUNTIF('New Trees'!$H$6:$H$153,'Hook Analysis'!A26)+COUNTIF('Updated Trees'!$H$6:$H$50,'Hook Analysis'!A26)</f>
        <v>2</v>
      </c>
      <c r="C26" s="87">
        <f t="shared" si="0"/>
        <v>1.1627906976744187</v>
      </c>
      <c r="E26" s="82"/>
      <c r="F26" s="14"/>
    </row>
    <row r="27" spans="1:6" x14ac:dyDescent="0.25">
      <c r="A27" s="83" t="s">
        <v>1668</v>
      </c>
      <c r="B27" s="82">
        <f>COUNTIF('New Trees'!$H$6:$H$153,'Hook Analysis'!A27)+COUNTIF('Updated Trees'!$H$6:$H$50,'Hook Analysis'!A27)</f>
        <v>6</v>
      </c>
      <c r="C27" s="87">
        <f t="shared" si="0"/>
        <v>3.4883720930232558</v>
      </c>
      <c r="E27" s="82"/>
      <c r="F27" s="14"/>
    </row>
    <row r="28" spans="1:6" x14ac:dyDescent="0.25">
      <c r="A28" s="83" t="s">
        <v>1669</v>
      </c>
      <c r="B28" s="82">
        <f>COUNTIF('New Trees'!$H$6:$H$153,'Hook Analysis'!A28)+COUNTIF('Updated Trees'!$H$6:$H$50,'Hook Analysis'!A28)</f>
        <v>2</v>
      </c>
      <c r="C28" s="87">
        <f t="shared" si="0"/>
        <v>1.1627906976744187</v>
      </c>
      <c r="E28" s="82"/>
      <c r="F28" s="14"/>
    </row>
    <row r="29" spans="1:6" x14ac:dyDescent="0.25">
      <c r="A29" s="83" t="s">
        <v>1670</v>
      </c>
      <c r="B29" s="82">
        <f>COUNTIF('New Trees'!$H$6:$H$153,'Hook Analysis'!A29)+COUNTIF('Updated Trees'!$H$6:$H$50,'Hook Analysis'!A29)</f>
        <v>1</v>
      </c>
      <c r="C29" s="87">
        <f t="shared" si="0"/>
        <v>0.58139534883720934</v>
      </c>
      <c r="E29" s="82"/>
      <c r="F29" s="14"/>
    </row>
    <row r="30" spans="1:6" x14ac:dyDescent="0.25">
      <c r="A30" s="83" t="s">
        <v>1671</v>
      </c>
      <c r="B30" s="82">
        <f>COUNTIF('New Trees'!$H$6:$H$153,'Hook Analysis'!A30)+COUNTIF('Updated Trees'!$H$6:$H$50,'Hook Analysis'!A30)</f>
        <v>11</v>
      </c>
      <c r="C30" s="87">
        <f t="shared" si="0"/>
        <v>6.395348837209303</v>
      </c>
      <c r="E30" s="82"/>
      <c r="F30" s="14"/>
    </row>
    <row r="31" spans="1:6" x14ac:dyDescent="0.25">
      <c r="A31" s="83" t="s">
        <v>1672</v>
      </c>
      <c r="B31" s="82">
        <f>COUNTIF('New Trees'!$H$6:$H$153,'Hook Analysis'!A31)+COUNTIF('Updated Trees'!$H$6:$H$50,'Hook Analysis'!A31)</f>
        <v>4</v>
      </c>
      <c r="C31" s="87">
        <f t="shared" si="0"/>
        <v>2.3255813953488373</v>
      </c>
      <c r="E31" s="82"/>
      <c r="F31" s="14"/>
    </row>
    <row r="32" spans="1:6" x14ac:dyDescent="0.25">
      <c r="A32" s="83" t="s">
        <v>1673</v>
      </c>
      <c r="B32" s="82">
        <f>COUNTIF('New Trees'!$H$6:$H$153,'Hook Analysis'!A32)+COUNTIF('Updated Trees'!$H$6:$H$50,'Hook Analysis'!A32)</f>
        <v>5</v>
      </c>
      <c r="C32" s="87">
        <f t="shared" si="0"/>
        <v>2.9069767441860463</v>
      </c>
      <c r="E32" s="82"/>
      <c r="F32" s="14"/>
    </row>
    <row r="33" spans="1:6" x14ac:dyDescent="0.25">
      <c r="A33" s="83" t="s">
        <v>1674</v>
      </c>
      <c r="B33" s="82">
        <f>COUNTIF('New Trees'!$H$6:$H$153,'Hook Analysis'!A33)+COUNTIF('Updated Trees'!$H$6:$H$50,'Hook Analysis'!A33)</f>
        <v>3</v>
      </c>
      <c r="C33" s="87">
        <f t="shared" si="0"/>
        <v>1.7441860465116279</v>
      </c>
      <c r="E33" s="82"/>
      <c r="F33" s="14"/>
    </row>
    <row r="34" spans="1:6" x14ac:dyDescent="0.25">
      <c r="A34" s="83" t="s">
        <v>1675</v>
      </c>
      <c r="B34" s="82">
        <f>COUNTIF('New Trees'!$H$6:$H$153,'Hook Analysis'!A34)+COUNTIF('Updated Trees'!$H$6:$H$50,'Hook Analysis'!A34)</f>
        <v>2</v>
      </c>
      <c r="C34" s="87">
        <f t="shared" si="0"/>
        <v>1.1627906976744187</v>
      </c>
      <c r="E34" s="82"/>
      <c r="F34" s="14"/>
    </row>
    <row r="35" spans="1:6" x14ac:dyDescent="0.25">
      <c r="A35" s="83" t="s">
        <v>1676</v>
      </c>
      <c r="B35" s="82">
        <f>COUNTIF('New Trees'!$H$6:$H$153,'Hook Analysis'!A35)+COUNTIF('Updated Trees'!$H$6:$H$50,'Hook Analysis'!A35)</f>
        <v>4</v>
      </c>
      <c r="C35" s="87">
        <f t="shared" si="0"/>
        <v>2.3255813953488373</v>
      </c>
      <c r="E35" s="82"/>
      <c r="F35" s="14"/>
    </row>
    <row r="36" spans="1:6" x14ac:dyDescent="0.25">
      <c r="A36" s="83" t="s">
        <v>1677</v>
      </c>
      <c r="B36" s="82">
        <f>COUNTIF('New Trees'!$H$6:$H$153,'Hook Analysis'!A36)+COUNTIF('Updated Trees'!$H$6:$H$50,'Hook Analysis'!A36)</f>
        <v>1</v>
      </c>
      <c r="C36" s="87">
        <f t="shared" si="0"/>
        <v>0.58139534883720934</v>
      </c>
      <c r="E36" s="82"/>
      <c r="F36" s="14"/>
    </row>
    <row r="37" spans="1:6" x14ac:dyDescent="0.25">
      <c r="A37" s="83" t="s">
        <v>1678</v>
      </c>
      <c r="B37" s="82">
        <f>COUNTIF('New Trees'!$H$6:$H$153,'Hook Analysis'!A37)+COUNTIF('Updated Trees'!$H$6:$H$50,'Hook Analysis'!A37)</f>
        <v>2</v>
      </c>
      <c r="C37" s="87">
        <f t="shared" si="0"/>
        <v>1.1627906976744187</v>
      </c>
      <c r="E37" s="82"/>
      <c r="F37" s="14"/>
    </row>
    <row r="38" spans="1:6" x14ac:dyDescent="0.25">
      <c r="A38" s="83" t="s">
        <v>1679</v>
      </c>
      <c r="B38" s="82">
        <f>COUNTIF('New Trees'!$H$6:$H$153,'Hook Analysis'!A38)+COUNTIF('Updated Trees'!$H$6:$H$50,'Hook Analysis'!A38)</f>
        <v>1</v>
      </c>
      <c r="C38" s="87">
        <f t="shared" si="0"/>
        <v>0.58139534883720934</v>
      </c>
      <c r="E38" s="82"/>
      <c r="F38" s="14"/>
    </row>
    <row r="39" spans="1:6" x14ac:dyDescent="0.25">
      <c r="A39" s="83" t="s">
        <v>1680</v>
      </c>
      <c r="B39" s="82">
        <f>COUNTIF('New Trees'!$H$6:$H$153,'Hook Analysis'!A39)+COUNTIF('Updated Trees'!$H$6:$H$50,'Hook Analysis'!A39)</f>
        <v>4</v>
      </c>
      <c r="C39" s="87">
        <f t="shared" si="0"/>
        <v>2.3255813953488373</v>
      </c>
      <c r="E39" s="82"/>
      <c r="F39" s="14"/>
    </row>
    <row r="40" spans="1:6" x14ac:dyDescent="0.25">
      <c r="A40" s="83" t="s">
        <v>1681</v>
      </c>
      <c r="B40" s="82">
        <f>COUNTIF('New Trees'!$H$6:$H$153,'Hook Analysis'!A40)+COUNTIF('Updated Trees'!$H$6:$H$50,'Hook Analysis'!A40)</f>
        <v>2</v>
      </c>
      <c r="C40" s="87">
        <f t="shared" si="0"/>
        <v>1.1627906976744187</v>
      </c>
      <c r="E40" s="82"/>
      <c r="F40" s="14"/>
    </row>
    <row r="41" spans="1:6" x14ac:dyDescent="0.25">
      <c r="A41" s="83" t="s">
        <v>1682</v>
      </c>
      <c r="B41" s="82">
        <f>COUNTIF('New Trees'!$H$6:$H$153,'Hook Analysis'!A41)+COUNTIF('Updated Trees'!$H$6:$H$50,'Hook Analysis'!A41)</f>
        <v>2</v>
      </c>
      <c r="C41" s="87">
        <f t="shared" si="0"/>
        <v>1.1627906976744187</v>
      </c>
      <c r="E41" s="82"/>
      <c r="F41" s="14"/>
    </row>
    <row r="42" spans="1:6" x14ac:dyDescent="0.25">
      <c r="A42" s="83" t="s">
        <v>1683</v>
      </c>
      <c r="B42" s="82">
        <f>COUNTIF('New Trees'!$H$6:$H$153,'Hook Analysis'!A42)+COUNTIF('Updated Trees'!$H$6:$H$50,'Hook Analysis'!A42)</f>
        <v>1</v>
      </c>
      <c r="C42" s="87">
        <f t="shared" si="0"/>
        <v>0.58139534883720934</v>
      </c>
      <c r="E42" s="82"/>
      <c r="F42" s="14"/>
    </row>
    <row r="43" spans="1:6" x14ac:dyDescent="0.25">
      <c r="A43" s="83" t="s">
        <v>1684</v>
      </c>
      <c r="B43" s="82">
        <f>COUNTIF('New Trees'!$H$6:$H$153,'Hook Analysis'!A43)+COUNTIF('Updated Trees'!$H$6:$H$50,'Hook Analysis'!A43)</f>
        <v>3</v>
      </c>
      <c r="C43" s="87">
        <f t="shared" si="0"/>
        <v>1.7441860465116279</v>
      </c>
      <c r="E43" s="82"/>
      <c r="F43" s="14"/>
    </row>
    <row r="44" spans="1:6" x14ac:dyDescent="0.25">
      <c r="A44" s="83" t="s">
        <v>1685</v>
      </c>
      <c r="B44" s="82">
        <f>COUNTIF('New Trees'!$H$6:$H$153,'Hook Analysis'!A44)+COUNTIF('Updated Trees'!$H$6:$H$50,'Hook Analysis'!A44)</f>
        <v>6</v>
      </c>
      <c r="C44" s="87">
        <f t="shared" si="0"/>
        <v>3.4883720930232558</v>
      </c>
      <c r="E44" s="82"/>
      <c r="F44" s="14"/>
    </row>
    <row r="45" spans="1:6" x14ac:dyDescent="0.25">
      <c r="A45" s="83" t="s">
        <v>1686</v>
      </c>
      <c r="B45" s="82">
        <f>COUNTIF('New Trees'!$H$6:$H$153,'Hook Analysis'!A45)+COUNTIF('Updated Trees'!$H$6:$H$50,'Hook Analysis'!A45)</f>
        <v>3</v>
      </c>
      <c r="C45" s="87">
        <f t="shared" si="0"/>
        <v>1.7441860465116279</v>
      </c>
      <c r="E45" s="82"/>
      <c r="F45" s="14"/>
    </row>
    <row r="46" spans="1:6" x14ac:dyDescent="0.25">
      <c r="A46" s="83" t="s">
        <v>1687</v>
      </c>
      <c r="B46" s="82">
        <f>COUNTIF('New Trees'!$H$6:$H$153,'Hook Analysis'!A46)+COUNTIF('Updated Trees'!$H$6:$H$50,'Hook Analysis'!A46)</f>
        <v>5</v>
      </c>
      <c r="C46" s="87">
        <f t="shared" si="0"/>
        <v>2.9069767441860463</v>
      </c>
      <c r="E46" s="82"/>
      <c r="F46" s="14"/>
    </row>
    <row r="47" spans="1:6" x14ac:dyDescent="0.25">
      <c r="A47" s="83" t="s">
        <v>1688</v>
      </c>
      <c r="B47" s="82">
        <f>COUNTIF('New Trees'!$H$6:$H$153,'Hook Analysis'!A47)+COUNTIF('Updated Trees'!$H$6:$H$50,'Hook Analysis'!A47)</f>
        <v>2</v>
      </c>
      <c r="C47" s="87">
        <f t="shared" si="0"/>
        <v>1.1627906976744187</v>
      </c>
      <c r="E47" s="82"/>
      <c r="F47" s="14"/>
    </row>
    <row r="48" spans="1:6" x14ac:dyDescent="0.25">
      <c r="A48" s="83" t="s">
        <v>1695</v>
      </c>
      <c r="B48" s="82">
        <f>COUNTIF('New Trees'!$H$6:$H$153,'Hook Analysis'!A48)+COUNTIF('Updated Trees'!$H$6:$H$50,'Hook Analysis'!A48)</f>
        <v>1</v>
      </c>
      <c r="C48" s="87">
        <f t="shared" si="0"/>
        <v>0.58139534883720934</v>
      </c>
      <c r="E48" s="82"/>
      <c r="F48" s="14"/>
    </row>
    <row r="49" spans="1:3" x14ac:dyDescent="0.25">
      <c r="A49" s="83" t="s">
        <v>1696</v>
      </c>
      <c r="B49" s="82">
        <f>COUNTIF('New Trees'!$H$6:$H$153,'Hook Analysis'!A49)+COUNTIF('Updated Trees'!$H$6:$H$50,'Hook Analysis'!A49)</f>
        <v>4</v>
      </c>
      <c r="C49" s="87">
        <f t="shared" si="0"/>
        <v>2.3255813953488373</v>
      </c>
    </row>
  </sheetData>
  <mergeCells count="3">
    <mergeCell ref="A1:F1"/>
    <mergeCell ref="A2:F2"/>
    <mergeCell ref="A3:F3"/>
  </mergeCells>
  <conditionalFormatting sqref="C5:C100">
    <cfRule type="cellIs" dxfId="0" priority="1" operator="equal">
      <formula>0</formula>
    </cfRule>
    <cfRule type="containsBlanks" priority="2">
      <formula>LEN(TRIM(C5))=0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8A37D-2575-4B2F-9FFD-CF88BAA893C4}">
  <dimension ref="A1:V494"/>
  <sheetViews>
    <sheetView workbookViewId="0">
      <selection activeCell="H23" sqref="H23"/>
    </sheetView>
  </sheetViews>
  <sheetFormatPr defaultRowHeight="15" x14ac:dyDescent="0.25"/>
  <cols>
    <col min="1" max="1" width="12.5703125" customWidth="1"/>
    <col min="2" max="2" width="9.7109375" customWidth="1"/>
    <col min="3" max="3" width="14.140625" style="13" customWidth="1"/>
    <col min="4" max="4" width="55.5703125" customWidth="1"/>
    <col min="5" max="5" width="22.85546875" customWidth="1"/>
    <col min="7" max="7" width="17.7109375" customWidth="1"/>
  </cols>
  <sheetData>
    <row r="1" spans="1:21" ht="24" x14ac:dyDescent="0.25">
      <c r="A1" s="98" t="s">
        <v>1814</v>
      </c>
      <c r="B1" s="98"/>
      <c r="C1" s="98"/>
      <c r="D1" s="98"/>
      <c r="E1" s="98"/>
      <c r="F1" s="98"/>
      <c r="G1" s="98"/>
      <c r="H1" s="98"/>
      <c r="I1" s="98"/>
      <c r="J1" s="98"/>
      <c r="K1" s="98"/>
      <c r="L1" s="98"/>
      <c r="M1" s="98"/>
      <c r="N1" s="98"/>
      <c r="O1" s="98"/>
      <c r="P1" s="98"/>
      <c r="Q1" s="98"/>
      <c r="R1" s="98"/>
      <c r="S1" s="98"/>
      <c r="T1" s="98"/>
      <c r="U1" s="98"/>
    </row>
    <row r="2" spans="1:21" ht="20.25" thickBot="1" x14ac:dyDescent="0.3">
      <c r="A2" s="166" t="s">
        <v>144</v>
      </c>
      <c r="B2" s="166"/>
      <c r="C2" s="166"/>
      <c r="D2" s="166"/>
      <c r="E2" s="166"/>
      <c r="F2" s="166"/>
      <c r="G2" s="166"/>
      <c r="H2" s="166"/>
      <c r="I2" s="166"/>
      <c r="J2" s="166"/>
      <c r="K2" s="166"/>
      <c r="L2" s="166"/>
      <c r="M2" s="166"/>
      <c r="N2" s="166"/>
      <c r="O2" s="166"/>
      <c r="P2" s="166"/>
      <c r="Q2" s="166"/>
      <c r="R2" s="166"/>
      <c r="S2" s="166"/>
      <c r="T2" s="166"/>
      <c r="U2" s="166"/>
    </row>
    <row r="3" spans="1:21" ht="18.75" thickTop="1" thickBot="1" x14ac:dyDescent="0.3">
      <c r="A3" s="154" t="s">
        <v>145</v>
      </c>
      <c r="B3" s="154"/>
      <c r="C3" s="154"/>
      <c r="D3" s="154"/>
      <c r="E3" s="154"/>
      <c r="F3" s="154"/>
      <c r="G3" s="154"/>
      <c r="H3" s="154"/>
      <c r="I3" s="154"/>
      <c r="J3" s="154"/>
      <c r="K3" s="154"/>
      <c r="L3" s="154"/>
      <c r="M3" s="154"/>
      <c r="N3" s="154"/>
      <c r="O3" s="154"/>
      <c r="P3" s="154"/>
      <c r="Q3" s="154"/>
      <c r="R3" s="154"/>
      <c r="S3" s="154"/>
      <c r="T3" s="154"/>
      <c r="U3" s="154"/>
    </row>
    <row r="4" spans="1:21" ht="15.75" thickTop="1" x14ac:dyDescent="0.25">
      <c r="A4" s="91" t="s">
        <v>318</v>
      </c>
      <c r="B4" s="91" t="s">
        <v>1619</v>
      </c>
      <c r="C4" s="92" t="s">
        <v>1813</v>
      </c>
      <c r="D4" s="91" t="s">
        <v>1815</v>
      </c>
      <c r="E4" s="91" t="s">
        <v>1829</v>
      </c>
      <c r="F4" s="91"/>
      <c r="G4" s="88" t="s">
        <v>1694</v>
      </c>
      <c r="H4" s="85" t="s">
        <v>1620</v>
      </c>
      <c r="I4" s="85"/>
      <c r="J4" s="85"/>
      <c r="K4" s="85"/>
      <c r="L4" s="85"/>
      <c r="M4" s="85"/>
      <c r="N4" s="85"/>
      <c r="O4" s="85"/>
      <c r="P4" s="85"/>
      <c r="Q4" s="85"/>
      <c r="R4" s="85"/>
      <c r="S4" s="85"/>
      <c r="T4" s="85"/>
      <c r="U4" s="85"/>
    </row>
    <row r="5" spans="1:21" x14ac:dyDescent="0.25">
      <c r="A5" s="14" t="s">
        <v>1330</v>
      </c>
      <c r="B5" s="82">
        <f>COUNTIF('New Trees'!E$6:E$153,A5)+COUNTIF('Updated Trees'!E$6:E$35,A5)</f>
        <v>3</v>
      </c>
      <c r="C5" s="86">
        <f t="shared" ref="C5:C36" si="0">(B5/H$5)*100</f>
        <v>1.7441860465116279</v>
      </c>
      <c r="D5" s="14" t="s">
        <v>1828</v>
      </c>
      <c r="E5" s="14" t="s">
        <v>1819</v>
      </c>
      <c r="F5" s="14"/>
      <c r="G5" s="89" t="s">
        <v>1691</v>
      </c>
      <c r="H5" s="82">
        <f>COUNTA('New Trees'!B6:B153)+COUNTA('Updated Trees'!B6:B50)</f>
        <v>172</v>
      </c>
    </row>
    <row r="6" spans="1:21" x14ac:dyDescent="0.25">
      <c r="A6" s="14" t="s">
        <v>308</v>
      </c>
      <c r="B6" s="82">
        <f>COUNTIF('New Trees'!E$6:E$153,A6)+COUNTIF('Updated Trees'!E$6:E$35,A6)</f>
        <v>2</v>
      </c>
      <c r="C6" s="86">
        <f t="shared" si="0"/>
        <v>1.1627906976744187</v>
      </c>
      <c r="D6" s="14" t="s">
        <v>1835</v>
      </c>
      <c r="E6" s="14" t="s">
        <v>1818</v>
      </c>
      <c r="F6" s="14"/>
      <c r="G6" s="89" t="s">
        <v>1807</v>
      </c>
      <c r="H6" s="82">
        <f>COUNTA('New Trees'!B6:B153)</f>
        <v>148</v>
      </c>
    </row>
    <row r="7" spans="1:21" x14ac:dyDescent="0.25">
      <c r="A7" s="14" t="s">
        <v>334</v>
      </c>
      <c r="B7" s="82">
        <f>COUNTIF('New Trees'!E$6:E$153,A7)+COUNTIF('Updated Trees'!E$6:E$35,A7)</f>
        <v>2</v>
      </c>
      <c r="C7" s="86">
        <f t="shared" si="0"/>
        <v>1.1627906976744187</v>
      </c>
      <c r="D7" s="14" t="s">
        <v>1839</v>
      </c>
      <c r="E7" s="14" t="s">
        <v>1818</v>
      </c>
      <c r="F7" s="14"/>
      <c r="G7" s="89" t="s">
        <v>1808</v>
      </c>
      <c r="H7" s="82">
        <f>COUNTA('Updated Trees'!B6:B50)</f>
        <v>24</v>
      </c>
    </row>
    <row r="8" spans="1:21" x14ac:dyDescent="0.25">
      <c r="A8" s="14" t="s">
        <v>340</v>
      </c>
      <c r="B8" s="82">
        <f>COUNTIF('New Trees'!E$6:E$153,A8)+COUNTIF('Updated Trees'!E$6:E$35,A8)</f>
        <v>4</v>
      </c>
      <c r="C8" s="86">
        <f t="shared" si="0"/>
        <v>2.3255813953488373</v>
      </c>
      <c r="D8" s="14" t="s">
        <v>1844</v>
      </c>
      <c r="E8" s="14" t="s">
        <v>1830</v>
      </c>
      <c r="F8" s="14"/>
      <c r="G8" s="89" t="s">
        <v>366</v>
      </c>
      <c r="H8" s="82">
        <f>COUNTIF('New Trees'!O$6:O$153,G8)+COUNTIF('Updated Trees'!O$6:O$50,G8)</f>
        <v>100</v>
      </c>
    </row>
    <row r="9" spans="1:21" x14ac:dyDescent="0.25">
      <c r="A9" s="14" t="s">
        <v>832</v>
      </c>
      <c r="B9" s="82">
        <f>COUNTIF('New Trees'!E$6:E$153,A9)+COUNTIF('Updated Trees'!E$6:E$35,A9)</f>
        <v>2</v>
      </c>
      <c r="C9" s="86">
        <f t="shared" si="0"/>
        <v>1.1627906976744187</v>
      </c>
      <c r="D9" s="14" t="s">
        <v>355</v>
      </c>
      <c r="E9" s="14" t="s">
        <v>1818</v>
      </c>
      <c r="F9" s="14"/>
      <c r="G9" s="89" t="s">
        <v>367</v>
      </c>
      <c r="H9" s="82">
        <f>COUNTIF('New Trees'!O$6:O$153,G9)+COUNTIF('Updated Trees'!O$6:O$50,G9)</f>
        <v>42</v>
      </c>
    </row>
    <row r="10" spans="1:21" x14ac:dyDescent="0.25">
      <c r="A10" s="14" t="s">
        <v>1823</v>
      </c>
      <c r="B10" s="82">
        <f>COUNTIF('New Trees'!E$6:E$153,A10)+COUNTIF('Updated Trees'!E$6:E$35,A10)</f>
        <v>2</v>
      </c>
      <c r="C10" s="86">
        <f t="shared" si="0"/>
        <v>1.1627906976744187</v>
      </c>
      <c r="D10" s="14" t="s">
        <v>1851</v>
      </c>
      <c r="E10" s="14" t="s">
        <v>1818</v>
      </c>
      <c r="F10" s="14"/>
      <c r="G10" s="89" t="s">
        <v>368</v>
      </c>
      <c r="H10" s="82">
        <f>COUNTIF('New Trees'!O$6:O$153,G10)+COUNTIF('Updated Trees'!O$6:O$50,G10)</f>
        <v>26</v>
      </c>
    </row>
    <row r="11" spans="1:21" x14ac:dyDescent="0.25">
      <c r="A11" s="14" t="s">
        <v>307</v>
      </c>
      <c r="B11" s="82">
        <f>COUNTIF('New Trees'!E$6:E$153,A11)+COUNTIF('Updated Trees'!E$6:E$35,A11)</f>
        <v>2</v>
      </c>
      <c r="C11" s="86">
        <f t="shared" si="0"/>
        <v>1.1627906976744187</v>
      </c>
      <c r="D11" s="14" t="s">
        <v>1855</v>
      </c>
      <c r="E11" s="14" t="s">
        <v>1818</v>
      </c>
      <c r="F11" s="14"/>
      <c r="G11" s="89" t="s">
        <v>60</v>
      </c>
      <c r="H11" s="82">
        <f>COUNTIF('New Trees'!O$6:O$153,G11)+COUNTIF('Updated Trees'!O$6:O$50,G11)</f>
        <v>4</v>
      </c>
    </row>
    <row r="12" spans="1:21" x14ac:dyDescent="0.25">
      <c r="A12" s="14" t="s">
        <v>834</v>
      </c>
      <c r="B12" s="82">
        <f>COUNTIF('New Trees'!E$6:E$153,A12)+COUNTIF('Updated Trees'!E$6:E$35,A12)</f>
        <v>2</v>
      </c>
      <c r="C12" s="86">
        <f t="shared" si="0"/>
        <v>1.1627906976744187</v>
      </c>
      <c r="D12" s="14" t="s">
        <v>1859</v>
      </c>
      <c r="E12" s="14" t="s">
        <v>1818</v>
      </c>
      <c r="F12" s="14"/>
      <c r="G12" s="89"/>
      <c r="H12" s="82"/>
    </row>
    <row r="13" spans="1:21" x14ac:dyDescent="0.25">
      <c r="A13" s="14" t="s">
        <v>345</v>
      </c>
      <c r="B13" s="82">
        <f>COUNTIF('New Trees'!E$6:E$153,A13)+COUNTIF('Updated Trees'!E$6:E$35,A13)</f>
        <v>2</v>
      </c>
      <c r="C13" s="86">
        <f t="shared" si="0"/>
        <v>1.1627906976744187</v>
      </c>
      <c r="D13" s="14" t="s">
        <v>1631</v>
      </c>
      <c r="E13" s="14" t="s">
        <v>1818</v>
      </c>
      <c r="F13" s="14"/>
      <c r="G13" s="89" t="s">
        <v>1809</v>
      </c>
      <c r="H13" s="82">
        <f>COUNTIF('New Trees'!S8:S155,"Complete")+COUNTIF('Updated Trees'!T8:T52,"Complete")</f>
        <v>0</v>
      </c>
    </row>
    <row r="14" spans="1:21" x14ac:dyDescent="0.25">
      <c r="A14" s="14" t="s">
        <v>1633</v>
      </c>
      <c r="B14" s="82">
        <f>COUNTIF('New Trees'!E$6:E$153,A14)+COUNTIF('Updated Trees'!E$6:E$35,A14)</f>
        <v>2</v>
      </c>
      <c r="C14" s="86">
        <f t="shared" si="0"/>
        <v>1.1627906976744187</v>
      </c>
      <c r="D14" s="14" t="s">
        <v>1860</v>
      </c>
      <c r="E14" s="14" t="s">
        <v>1818</v>
      </c>
      <c r="F14" s="14"/>
      <c r="G14" s="89" t="s">
        <v>1810</v>
      </c>
      <c r="H14" s="82">
        <f>COUNTIF('New Trees'!S8:S155,"Complete")</f>
        <v>0</v>
      </c>
    </row>
    <row r="15" spans="1:21" x14ac:dyDescent="0.25">
      <c r="A15" s="14" t="s">
        <v>296</v>
      </c>
      <c r="B15" s="82">
        <f>COUNTIF('New Trees'!E$6:E$153,A15)+COUNTIF('Updated Trees'!E$6:E$35,A15)</f>
        <v>2</v>
      </c>
      <c r="C15" s="86">
        <f t="shared" si="0"/>
        <v>1.1627906976744187</v>
      </c>
      <c r="D15" s="14" t="s">
        <v>1870</v>
      </c>
      <c r="E15" s="14" t="s">
        <v>1818</v>
      </c>
      <c r="F15" s="14"/>
      <c r="G15" s="89" t="s">
        <v>1811</v>
      </c>
      <c r="H15" s="82">
        <f>COUNTIF('Updated Trees'!T8:T52,"Complete")</f>
        <v>0</v>
      </c>
    </row>
    <row r="16" spans="1:21" x14ac:dyDescent="0.25">
      <c r="A16" s="14" t="s">
        <v>576</v>
      </c>
      <c r="B16" s="82">
        <f>COUNTIF('New Trees'!E$6:E$153,A16)+COUNTIF('Updated Trees'!E$6:E$35,A16)</f>
        <v>2</v>
      </c>
      <c r="C16" s="86">
        <f t="shared" si="0"/>
        <v>1.1627906976744187</v>
      </c>
      <c r="D16" s="14" t="s">
        <v>1876</v>
      </c>
      <c r="E16" s="14" t="s">
        <v>1818</v>
      </c>
      <c r="F16" s="14"/>
      <c r="G16" s="82"/>
      <c r="H16" s="14"/>
    </row>
    <row r="17" spans="1:8" x14ac:dyDescent="0.25">
      <c r="A17" s="14" t="s">
        <v>302</v>
      </c>
      <c r="B17" s="82">
        <f>COUNTIF('New Trees'!E$6:E$153,A17)+COUNTIF('Updated Trees'!E$6:E$35,A17)</f>
        <v>2</v>
      </c>
      <c r="C17" s="86">
        <f t="shared" si="0"/>
        <v>1.1627906976744187</v>
      </c>
      <c r="D17" s="14" t="s">
        <v>1877</v>
      </c>
      <c r="E17" s="14" t="s">
        <v>1818</v>
      </c>
      <c r="F17" s="14"/>
      <c r="G17" s="89" t="s">
        <v>1812</v>
      </c>
      <c r="H17" s="82">
        <f>COUNTIF('New Trees'!S$6:S$153,"In-Game")+COUNTIF('Updated Trees'!T$6:T$50,"In-Game")</f>
        <v>12</v>
      </c>
    </row>
    <row r="18" spans="1:8" x14ac:dyDescent="0.25">
      <c r="A18" s="14" t="s">
        <v>46</v>
      </c>
      <c r="B18" s="82">
        <f>COUNTIF('New Trees'!E$6:E$153,A18)+COUNTIF('Updated Trees'!E$6:E$35,A18)</f>
        <v>2</v>
      </c>
      <c r="C18" s="86">
        <f t="shared" si="0"/>
        <v>1.1627906976744187</v>
      </c>
      <c r="D18" s="14" t="s">
        <v>1644</v>
      </c>
      <c r="E18" s="14" t="s">
        <v>1904</v>
      </c>
      <c r="F18" s="14"/>
      <c r="G18" s="89" t="s">
        <v>1810</v>
      </c>
      <c r="H18" s="82">
        <f>COUNTIF('New Trees'!S$6:S$153,"In-Game")</f>
        <v>0</v>
      </c>
    </row>
    <row r="19" spans="1:8" x14ac:dyDescent="0.25">
      <c r="A19" s="14" t="s">
        <v>708</v>
      </c>
      <c r="B19" s="82">
        <f>COUNTIF('New Trees'!E$6:E$153,A19)+COUNTIF('Updated Trees'!E$6:E$35,A19)</f>
        <v>2</v>
      </c>
      <c r="C19" s="86">
        <f t="shared" si="0"/>
        <v>1.1627906976744187</v>
      </c>
      <c r="D19" s="14" t="s">
        <v>1871</v>
      </c>
      <c r="E19" s="14" t="s">
        <v>1818</v>
      </c>
      <c r="F19" s="14"/>
      <c r="G19" s="89" t="s">
        <v>1811</v>
      </c>
      <c r="H19" s="82">
        <f>COUNTIF('Updated Trees'!T$6:T$50,"In-Game")</f>
        <v>12</v>
      </c>
    </row>
    <row r="20" spans="1:8" x14ac:dyDescent="0.25">
      <c r="A20" s="14" t="s">
        <v>295</v>
      </c>
      <c r="B20" s="82">
        <f>COUNTIF('New Trees'!E$6:E$153,A20)+COUNTIF('Updated Trees'!E$6:E$35,A20)</f>
        <v>2</v>
      </c>
      <c r="C20" s="86">
        <f t="shared" si="0"/>
        <v>1.1627906976744187</v>
      </c>
      <c r="D20" s="14" t="s">
        <v>1872</v>
      </c>
      <c r="E20" s="14" t="s">
        <v>1818</v>
      </c>
      <c r="F20" s="14"/>
      <c r="G20" s="89"/>
      <c r="H20" s="82"/>
    </row>
    <row r="21" spans="1:8" x14ac:dyDescent="0.25">
      <c r="A21" s="14" t="s">
        <v>335</v>
      </c>
      <c r="B21" s="82">
        <f>COUNTIF('New Trees'!E$6:E$153,A21)+COUNTIF('Updated Trees'!E$6:E$35,A21)</f>
        <v>2</v>
      </c>
      <c r="C21" s="86">
        <f t="shared" si="0"/>
        <v>1.1627906976744187</v>
      </c>
      <c r="D21" s="14" t="s">
        <v>335</v>
      </c>
      <c r="E21" s="14" t="s">
        <v>1818</v>
      </c>
      <c r="F21" s="14"/>
      <c r="G21" s="89"/>
      <c r="H21" s="82"/>
    </row>
    <row r="22" spans="1:8" x14ac:dyDescent="0.25">
      <c r="A22" s="14" t="s">
        <v>677</v>
      </c>
      <c r="B22" s="82">
        <f>COUNTIF('New Trees'!E$6:E$153,A22)+COUNTIF('Updated Trees'!E$6:E$35,A22)</f>
        <v>1</v>
      </c>
      <c r="C22" s="86">
        <f t="shared" si="0"/>
        <v>0.58139534883720934</v>
      </c>
      <c r="D22" s="14" t="s">
        <v>677</v>
      </c>
      <c r="E22" s="14" t="s">
        <v>1818</v>
      </c>
      <c r="F22" s="14"/>
      <c r="G22" s="89"/>
      <c r="H22" s="82"/>
    </row>
    <row r="23" spans="1:8" x14ac:dyDescent="0.25">
      <c r="A23" s="14" t="s">
        <v>680</v>
      </c>
      <c r="B23" s="82">
        <f>COUNTIF('New Trees'!E$6:E$153,A23)+COUNTIF('Updated Trees'!E$6:E$35,A23)</f>
        <v>1</v>
      </c>
      <c r="C23" s="86">
        <f t="shared" si="0"/>
        <v>0.58139534883720934</v>
      </c>
      <c r="D23" s="14" t="s">
        <v>680</v>
      </c>
      <c r="E23" s="14" t="s">
        <v>1818</v>
      </c>
      <c r="F23" s="14"/>
      <c r="G23" s="89"/>
      <c r="H23" s="82"/>
    </row>
    <row r="24" spans="1:8" x14ac:dyDescent="0.25">
      <c r="A24" s="14" t="s">
        <v>292</v>
      </c>
      <c r="B24" s="82">
        <f>COUNTIF('New Trees'!E$6:E$153,A24)+COUNTIF('Updated Trees'!E$6:E$35,A24)</f>
        <v>2</v>
      </c>
      <c r="C24" s="86">
        <f t="shared" si="0"/>
        <v>1.1627906976744187</v>
      </c>
      <c r="D24" s="14" t="s">
        <v>1903</v>
      </c>
      <c r="E24" s="14" t="s">
        <v>1904</v>
      </c>
      <c r="F24" s="14"/>
      <c r="G24" s="89"/>
      <c r="H24" s="82"/>
    </row>
    <row r="25" spans="1:8" x14ac:dyDescent="0.25">
      <c r="A25" s="14" t="s">
        <v>1331</v>
      </c>
      <c r="B25" s="82">
        <f>COUNTIF('New Trees'!E$6:E$153,A25)+COUNTIF('Updated Trees'!E$6:E$35,A25)</f>
        <v>2</v>
      </c>
      <c r="C25" s="86">
        <f t="shared" si="0"/>
        <v>1.1627906976744187</v>
      </c>
      <c r="D25" s="14" t="s">
        <v>1908</v>
      </c>
      <c r="E25" s="14" t="s">
        <v>1904</v>
      </c>
      <c r="F25" s="14"/>
      <c r="G25" s="89"/>
      <c r="H25" s="82"/>
    </row>
    <row r="26" spans="1:8" x14ac:dyDescent="0.25">
      <c r="A26" s="14" t="s">
        <v>304</v>
      </c>
      <c r="B26" s="82">
        <f>COUNTIF('New Trees'!E$6:E$153,A26)+COUNTIF('Updated Trees'!E$6:E$35,A26)</f>
        <v>2</v>
      </c>
      <c r="C26" s="86">
        <f t="shared" si="0"/>
        <v>1.1627906976744187</v>
      </c>
      <c r="D26" s="14" t="s">
        <v>1878</v>
      </c>
      <c r="E26" s="14" t="s">
        <v>1904</v>
      </c>
      <c r="F26" s="14"/>
      <c r="G26" s="89"/>
      <c r="H26" s="82"/>
    </row>
    <row r="27" spans="1:8" x14ac:dyDescent="0.25">
      <c r="A27" s="14" t="s">
        <v>336</v>
      </c>
      <c r="B27" s="82">
        <f>COUNTIF('New Trees'!E$6:E$153,A27)+COUNTIF('Updated Trees'!E$6:E$35,A27)</f>
        <v>2</v>
      </c>
      <c r="C27" s="86">
        <f t="shared" si="0"/>
        <v>1.1627906976744187</v>
      </c>
      <c r="D27" s="14" t="s">
        <v>336</v>
      </c>
      <c r="E27" s="14" t="s">
        <v>1818</v>
      </c>
      <c r="F27" s="14"/>
      <c r="G27" s="89"/>
      <c r="H27" s="82"/>
    </row>
    <row r="28" spans="1:8" x14ac:dyDescent="0.25">
      <c r="A28" s="14" t="s">
        <v>1554</v>
      </c>
      <c r="B28" s="82">
        <f>COUNTIF('New Trees'!E$6:E$153,A28)+COUNTIF('Updated Trees'!E$6:E$35,A28)</f>
        <v>5</v>
      </c>
      <c r="C28" s="86">
        <f t="shared" si="0"/>
        <v>2.9069767441860463</v>
      </c>
      <c r="D28" s="14" t="s">
        <v>1917</v>
      </c>
      <c r="E28" s="14" t="s">
        <v>1830</v>
      </c>
      <c r="F28" s="14"/>
      <c r="G28" s="89"/>
      <c r="H28" s="82"/>
    </row>
    <row r="29" spans="1:8" x14ac:dyDescent="0.25">
      <c r="A29" s="14" t="s">
        <v>431</v>
      </c>
      <c r="B29" s="82">
        <f>COUNTIF('New Trees'!E$6:E$153,A29)+COUNTIF('Updated Trees'!E$6:E$35,A29)</f>
        <v>2</v>
      </c>
      <c r="C29" s="86">
        <f t="shared" si="0"/>
        <v>1.1627906976744187</v>
      </c>
      <c r="D29" s="14" t="s">
        <v>431</v>
      </c>
      <c r="E29" s="14" t="s">
        <v>1904</v>
      </c>
      <c r="F29" s="14"/>
      <c r="G29" s="89"/>
      <c r="H29" s="82"/>
    </row>
    <row r="30" spans="1:8" x14ac:dyDescent="0.25">
      <c r="A30" s="14" t="s">
        <v>500</v>
      </c>
      <c r="B30" s="82">
        <f>COUNTIF('New Trees'!E$6:E$153,A30)+COUNTIF('Updated Trees'!E$6:E$35,A30)</f>
        <v>2</v>
      </c>
      <c r="C30" s="86">
        <f t="shared" si="0"/>
        <v>1.1627906976744187</v>
      </c>
      <c r="D30" s="14" t="s">
        <v>1924</v>
      </c>
      <c r="E30" s="14" t="s">
        <v>1818</v>
      </c>
      <c r="F30" s="14"/>
      <c r="G30" s="89"/>
      <c r="H30" s="82"/>
    </row>
    <row r="31" spans="1:8" x14ac:dyDescent="0.25">
      <c r="A31" s="14" t="s">
        <v>228</v>
      </c>
      <c r="B31" s="82">
        <f>COUNTIF('New Trees'!E$6:E$153,A31)+COUNTIF('Updated Trees'!E$6:E$35,A31)</f>
        <v>3</v>
      </c>
      <c r="C31" s="86">
        <f t="shared" si="0"/>
        <v>1.7441860465116279</v>
      </c>
      <c r="D31" s="14" t="s">
        <v>1928</v>
      </c>
      <c r="E31" s="14" t="s">
        <v>1819</v>
      </c>
      <c r="F31" s="14"/>
      <c r="G31" s="89"/>
      <c r="H31" s="82"/>
    </row>
    <row r="32" spans="1:8" x14ac:dyDescent="0.25">
      <c r="A32" s="14" t="s">
        <v>451</v>
      </c>
      <c r="B32" s="82">
        <f>COUNTIF('New Trees'!E$6:E$153,A32)+COUNTIF('Updated Trees'!E$6:E$35,A32)</f>
        <v>2</v>
      </c>
      <c r="C32" s="86">
        <f t="shared" si="0"/>
        <v>1.1627906976744187</v>
      </c>
      <c r="D32" s="14" t="s">
        <v>1932</v>
      </c>
      <c r="E32" s="14" t="s">
        <v>1818</v>
      </c>
      <c r="F32" s="14"/>
      <c r="G32" s="89"/>
      <c r="H32" s="82"/>
    </row>
    <row r="33" spans="1:8" x14ac:dyDescent="0.25">
      <c r="A33" s="14" t="s">
        <v>684</v>
      </c>
      <c r="B33" s="82">
        <f>COUNTIF('New Trees'!E$6:E$153,A33)+COUNTIF('Updated Trees'!E$6:E$35,A33)</f>
        <v>2</v>
      </c>
      <c r="C33" s="86">
        <f t="shared" si="0"/>
        <v>1.1627906976744187</v>
      </c>
      <c r="D33" s="14" t="s">
        <v>1936</v>
      </c>
      <c r="E33" s="14" t="s">
        <v>1818</v>
      </c>
      <c r="F33" s="14"/>
      <c r="G33" s="89"/>
      <c r="H33" s="82"/>
    </row>
    <row r="34" spans="1:8" x14ac:dyDescent="0.25">
      <c r="A34" s="14" t="s">
        <v>284</v>
      </c>
      <c r="B34" s="82">
        <f>COUNTIF('New Trees'!E$6:E$153,A34)+COUNTIF('Updated Trees'!E$6:E$35,A34)</f>
        <v>2</v>
      </c>
      <c r="C34" s="86">
        <f t="shared" si="0"/>
        <v>1.1627906976744187</v>
      </c>
      <c r="D34" s="14" t="s">
        <v>1940</v>
      </c>
      <c r="E34" s="14" t="s">
        <v>1904</v>
      </c>
      <c r="F34" s="14"/>
      <c r="G34" s="89"/>
      <c r="H34" s="82"/>
    </row>
    <row r="35" spans="1:8" x14ac:dyDescent="0.25">
      <c r="A35" s="14" t="s">
        <v>1825</v>
      </c>
      <c r="B35" s="82">
        <f>COUNTIF('New Trees'!E$6:E$153,A35)+COUNTIF('Updated Trees'!E$6:E$35,A35)</f>
        <v>2</v>
      </c>
      <c r="C35" s="86">
        <f t="shared" si="0"/>
        <v>1.1627906976744187</v>
      </c>
      <c r="D35" s="14" t="s">
        <v>1944</v>
      </c>
      <c r="E35" s="14" t="s">
        <v>1818</v>
      </c>
      <c r="F35" s="14"/>
      <c r="G35" s="89"/>
      <c r="H35" s="82"/>
    </row>
    <row r="36" spans="1:8" x14ac:dyDescent="0.25">
      <c r="A36" s="14" t="s">
        <v>468</v>
      </c>
      <c r="B36" s="82">
        <f>COUNTIF('New Trees'!E$6:E$153,A36)+COUNTIF('Updated Trees'!E$6:E$35,A36)</f>
        <v>2</v>
      </c>
      <c r="C36" s="86">
        <f t="shared" si="0"/>
        <v>1.1627906976744187</v>
      </c>
      <c r="D36" s="14" t="s">
        <v>1951</v>
      </c>
      <c r="E36" s="14" t="s">
        <v>1904</v>
      </c>
      <c r="F36" s="14"/>
      <c r="G36" s="89"/>
      <c r="H36" s="82"/>
    </row>
    <row r="37" spans="1:8" x14ac:dyDescent="0.25">
      <c r="A37" s="14" t="s">
        <v>1638</v>
      </c>
      <c r="B37" s="82">
        <f>COUNTIF('New Trees'!E$6:E$153,A37)+COUNTIF('Updated Trees'!E$6:E$35,A37)</f>
        <v>2</v>
      </c>
      <c r="C37" s="86">
        <f t="shared" ref="C37:C68" si="1">(B37/H$5)*100</f>
        <v>1.1627906976744187</v>
      </c>
      <c r="D37" s="14" t="s">
        <v>1952</v>
      </c>
      <c r="E37" s="14" t="s">
        <v>1904</v>
      </c>
      <c r="F37" s="14"/>
      <c r="G37" s="89"/>
      <c r="H37" s="82"/>
    </row>
    <row r="38" spans="1:8" x14ac:dyDescent="0.25">
      <c r="A38" s="14" t="s">
        <v>156</v>
      </c>
      <c r="B38" s="82">
        <f>COUNTIF('New Trees'!E$6:E$153,A38)+COUNTIF('Updated Trees'!E$6:E$35,A38)</f>
        <v>3</v>
      </c>
      <c r="C38" s="86">
        <f t="shared" si="1"/>
        <v>1.7441860465116279</v>
      </c>
      <c r="D38" s="14" t="s">
        <v>1956</v>
      </c>
      <c r="E38" s="14" t="s">
        <v>1819</v>
      </c>
      <c r="F38" s="14"/>
      <c r="G38" s="89"/>
      <c r="H38" s="82"/>
    </row>
    <row r="39" spans="1:8" x14ac:dyDescent="0.25">
      <c r="A39" s="14" t="s">
        <v>1827</v>
      </c>
      <c r="B39" s="82">
        <f>COUNTIF('New Trees'!E$6:E$153,A39)+COUNTIF('Updated Trees'!E$6:E$35,A39)</f>
        <v>2</v>
      </c>
      <c r="C39" s="86">
        <f t="shared" si="1"/>
        <v>1.1627906976744187</v>
      </c>
      <c r="D39" s="14" t="s">
        <v>1961</v>
      </c>
      <c r="E39" s="14" t="s">
        <v>1818</v>
      </c>
      <c r="F39" s="14"/>
      <c r="G39" s="89"/>
      <c r="H39" s="82"/>
    </row>
    <row r="40" spans="1:8" x14ac:dyDescent="0.25">
      <c r="A40" s="14" t="s">
        <v>306</v>
      </c>
      <c r="B40" s="82">
        <f>COUNTIF('New Trees'!E$6:E$153,A40)+COUNTIF('Updated Trees'!E$6:E$35,A40)</f>
        <v>2</v>
      </c>
      <c r="C40" s="86">
        <f t="shared" si="1"/>
        <v>1.1627906976744187</v>
      </c>
      <c r="D40" s="14" t="s">
        <v>1965</v>
      </c>
      <c r="E40" s="14" t="s">
        <v>1904</v>
      </c>
      <c r="F40" s="14"/>
      <c r="G40" s="89"/>
      <c r="H40" s="82"/>
    </row>
    <row r="41" spans="1:8" x14ac:dyDescent="0.25">
      <c r="A41" s="14" t="s">
        <v>305</v>
      </c>
      <c r="B41" s="82">
        <f>COUNTIF('New Trees'!E$6:E$153,A41)+COUNTIF('Updated Trees'!E$6:E$35,A41)</f>
        <v>3</v>
      </c>
      <c r="C41" s="86">
        <f t="shared" si="1"/>
        <v>1.7441860465116279</v>
      </c>
      <c r="D41" s="14" t="s">
        <v>1968</v>
      </c>
      <c r="E41" s="14" t="s">
        <v>1819</v>
      </c>
      <c r="F41" s="14"/>
      <c r="G41" s="89"/>
      <c r="H41" s="82"/>
    </row>
    <row r="42" spans="1:8" x14ac:dyDescent="0.25">
      <c r="A42" s="14" t="s">
        <v>478</v>
      </c>
      <c r="B42" s="82">
        <f>COUNTIF('New Trees'!E$6:E$153,A42)+COUNTIF('Updated Trees'!E$6:E$35,A42)</f>
        <v>2</v>
      </c>
      <c r="C42" s="86">
        <f t="shared" si="1"/>
        <v>1.1627906976744187</v>
      </c>
      <c r="D42" s="14" t="s">
        <v>481</v>
      </c>
      <c r="E42" s="14" t="s">
        <v>1818</v>
      </c>
      <c r="F42" s="14"/>
      <c r="G42" s="89"/>
      <c r="H42" s="82"/>
    </row>
    <row r="43" spans="1:8" x14ac:dyDescent="0.25">
      <c r="A43" s="14" t="s">
        <v>699</v>
      </c>
      <c r="B43" s="82">
        <f>COUNTIF('New Trees'!E$6:E$153,A43)+COUNTIF('Updated Trees'!E$6:E$35,A43)</f>
        <v>1</v>
      </c>
      <c r="C43" s="86">
        <f t="shared" si="1"/>
        <v>0.58139534883720934</v>
      </c>
      <c r="D43" s="14" t="s">
        <v>378</v>
      </c>
      <c r="E43" s="14" t="s">
        <v>1818</v>
      </c>
      <c r="F43" s="14"/>
      <c r="G43" s="89"/>
      <c r="H43" s="82"/>
    </row>
    <row r="44" spans="1:8" x14ac:dyDescent="0.25">
      <c r="A44" s="14" t="s">
        <v>339</v>
      </c>
      <c r="B44" s="82">
        <f>COUNTIF('New Trees'!E$6:E$153,A44)+COUNTIF('Updated Trees'!E$6:E$35,A44)</f>
        <v>2</v>
      </c>
      <c r="C44" s="86">
        <f t="shared" si="1"/>
        <v>1.1627906976744187</v>
      </c>
      <c r="D44" s="14" t="s">
        <v>339</v>
      </c>
      <c r="E44" s="14" t="s">
        <v>1818</v>
      </c>
      <c r="F44" s="14"/>
      <c r="G44" s="89"/>
      <c r="H44" s="82"/>
    </row>
    <row r="45" spans="1:8" x14ac:dyDescent="0.25">
      <c r="A45" s="14" t="s">
        <v>286</v>
      </c>
      <c r="B45" s="82">
        <f>COUNTIF('New Trees'!E$6:E$153,A45)+COUNTIF('Updated Trees'!E$6:E$35,A45)</f>
        <v>2</v>
      </c>
      <c r="C45" s="86">
        <f t="shared" si="1"/>
        <v>1.1627906976744187</v>
      </c>
      <c r="D45" s="14" t="s">
        <v>1980</v>
      </c>
      <c r="E45" s="14" t="s">
        <v>1818</v>
      </c>
      <c r="F45" s="14"/>
      <c r="G45" s="89"/>
      <c r="H45" s="82"/>
    </row>
    <row r="46" spans="1:8" x14ac:dyDescent="0.25">
      <c r="A46" s="14" t="s">
        <v>1267</v>
      </c>
      <c r="B46" s="82">
        <f>COUNTIF('New Trees'!E$6:E$153,A46)+COUNTIF('Updated Trees'!E$6:E$35,A46)</f>
        <v>2</v>
      </c>
      <c r="C46" s="86">
        <f t="shared" si="1"/>
        <v>1.1627906976744187</v>
      </c>
      <c r="D46" s="14" t="s">
        <v>1987</v>
      </c>
      <c r="E46" s="14" t="s">
        <v>1904</v>
      </c>
      <c r="F46" s="14"/>
      <c r="G46" s="89"/>
      <c r="H46" s="82"/>
    </row>
    <row r="47" spans="1:8" x14ac:dyDescent="0.25">
      <c r="A47" s="14" t="s">
        <v>1461</v>
      </c>
      <c r="B47" s="82">
        <f>COUNTIF('New Trees'!E$6:E$153,A47)+COUNTIF('Updated Trees'!E$6:E$35,A47)</f>
        <v>1</v>
      </c>
      <c r="C47" s="86">
        <f t="shared" si="1"/>
        <v>0.58139534883720934</v>
      </c>
      <c r="D47" s="14" t="s">
        <v>1461</v>
      </c>
      <c r="E47" s="14" t="s">
        <v>1818</v>
      </c>
      <c r="F47" s="14"/>
      <c r="G47" s="89"/>
      <c r="H47" s="82"/>
    </row>
    <row r="48" spans="1:8" x14ac:dyDescent="0.25">
      <c r="A48" s="14" t="s">
        <v>1643</v>
      </c>
      <c r="B48" s="82">
        <f>COUNTIF('New Trees'!E$6:E$153,A48)+COUNTIF('Updated Trees'!E$6:E$35,A48)</f>
        <v>2</v>
      </c>
      <c r="C48" s="86">
        <f t="shared" si="1"/>
        <v>1.1627906976744187</v>
      </c>
      <c r="D48" s="14" t="s">
        <v>1641</v>
      </c>
      <c r="E48" s="14" t="s">
        <v>1818</v>
      </c>
      <c r="F48" s="14"/>
      <c r="G48" s="89"/>
      <c r="H48" s="82"/>
    </row>
    <row r="49" spans="1:8" x14ac:dyDescent="0.25">
      <c r="A49" s="14" t="s">
        <v>1623</v>
      </c>
      <c r="B49" s="82">
        <f>COUNTIF('New Trees'!E$6:E$153,A49)+COUNTIF('Updated Trees'!E$6:E$35,A49)</f>
        <v>2</v>
      </c>
      <c r="C49" s="86">
        <f t="shared" si="1"/>
        <v>1.1627906976744187</v>
      </c>
      <c r="D49" s="14" t="s">
        <v>1621</v>
      </c>
      <c r="E49" s="14" t="s">
        <v>1904</v>
      </c>
      <c r="F49" s="14"/>
      <c r="G49" s="89"/>
      <c r="H49" s="82"/>
    </row>
    <row r="50" spans="1:8" x14ac:dyDescent="0.25">
      <c r="A50" s="14" t="s">
        <v>298</v>
      </c>
      <c r="B50" s="82">
        <f>COUNTIF('New Trees'!E$6:E$153,A50)+COUNTIF('Updated Trees'!E$6:E$35,A50)</f>
        <v>3</v>
      </c>
      <c r="C50" s="86">
        <f t="shared" si="1"/>
        <v>1.7441860465116279</v>
      </c>
      <c r="D50" s="14" t="s">
        <v>1997</v>
      </c>
      <c r="E50" s="14" t="s">
        <v>1819</v>
      </c>
      <c r="F50" s="14"/>
      <c r="G50" s="89"/>
      <c r="H50" s="82"/>
    </row>
    <row r="51" spans="1:8" x14ac:dyDescent="0.25">
      <c r="A51" s="14" t="s">
        <v>62</v>
      </c>
      <c r="B51" s="82">
        <f>COUNTIF('New Trees'!E$6:E$153,A51)+COUNTIF('Updated Trees'!E$6:E$35,A51)</f>
        <v>2</v>
      </c>
      <c r="C51" s="86">
        <f t="shared" si="1"/>
        <v>1.1627906976744187</v>
      </c>
      <c r="D51" s="14" t="s">
        <v>2001</v>
      </c>
      <c r="E51" s="14" t="s">
        <v>1904</v>
      </c>
      <c r="F51" s="14"/>
      <c r="G51" s="89"/>
      <c r="H51" s="82"/>
    </row>
    <row r="52" spans="1:8" x14ac:dyDescent="0.25">
      <c r="A52" s="14" t="s">
        <v>501</v>
      </c>
      <c r="B52" s="82">
        <f>COUNTIF('New Trees'!E$6:E$153,A52)+COUNTIF('Updated Trees'!E$6:E$35,A52)</f>
        <v>2</v>
      </c>
      <c r="C52" s="86">
        <f t="shared" si="1"/>
        <v>1.1627906976744187</v>
      </c>
      <c r="D52" s="14" t="s">
        <v>380</v>
      </c>
      <c r="E52" s="14" t="s">
        <v>1818</v>
      </c>
      <c r="F52" s="14"/>
      <c r="G52" s="89"/>
      <c r="H52" s="82"/>
    </row>
    <row r="53" spans="1:8" x14ac:dyDescent="0.25">
      <c r="A53" s="14" t="s">
        <v>68</v>
      </c>
      <c r="B53" s="82">
        <f>COUNTIF('New Trees'!E$6:E$153,A53)+COUNTIF('Updated Trees'!E$6:E$35,A53)</f>
        <v>2</v>
      </c>
      <c r="C53" s="86">
        <f t="shared" si="1"/>
        <v>1.1627906976744187</v>
      </c>
      <c r="D53" s="14" t="s">
        <v>2008</v>
      </c>
      <c r="E53" s="14" t="s">
        <v>1904</v>
      </c>
      <c r="F53" s="14"/>
      <c r="G53" s="89"/>
      <c r="H53" s="82"/>
    </row>
    <row r="54" spans="1:8" x14ac:dyDescent="0.25">
      <c r="A54" s="14" t="s">
        <v>54</v>
      </c>
      <c r="B54" s="82">
        <f>COUNTIF('New Trees'!E$6:E$153,A54)+COUNTIF('Updated Trees'!E$6:E$35,A54)</f>
        <v>4</v>
      </c>
      <c r="C54" s="86">
        <f t="shared" si="1"/>
        <v>2.3255813953488373</v>
      </c>
      <c r="D54" s="14" t="s">
        <v>2013</v>
      </c>
      <c r="E54" s="14" t="s">
        <v>1819</v>
      </c>
      <c r="F54" s="14"/>
      <c r="G54" s="89"/>
      <c r="H54" s="82"/>
    </row>
    <row r="55" spans="1:8" x14ac:dyDescent="0.25">
      <c r="A55" s="14" t="s">
        <v>1826</v>
      </c>
      <c r="B55" s="82">
        <f>COUNTIF('New Trees'!E$6:E$153,A55)+COUNTIF('Updated Trees'!E$6:E$35,A55)</f>
        <v>2</v>
      </c>
      <c r="C55" s="86">
        <f t="shared" si="1"/>
        <v>1.1627906976744187</v>
      </c>
      <c r="D55" s="14" t="s">
        <v>2017</v>
      </c>
      <c r="E55" s="14" t="s">
        <v>1818</v>
      </c>
      <c r="F55" s="14"/>
      <c r="G55" s="89"/>
      <c r="H55" s="82"/>
    </row>
    <row r="56" spans="1:8" x14ac:dyDescent="0.25">
      <c r="A56" s="14" t="s">
        <v>1332</v>
      </c>
      <c r="B56" s="82">
        <f>COUNTIF('New Trees'!E$6:E$153,A56)+COUNTIF('Updated Trees'!E$6:E$35,A56)</f>
        <v>7</v>
      </c>
      <c r="C56" s="86">
        <f t="shared" si="1"/>
        <v>4.0697674418604652</v>
      </c>
      <c r="D56" s="14" t="s">
        <v>2021</v>
      </c>
      <c r="E56" s="14" t="s">
        <v>1830</v>
      </c>
      <c r="F56" s="14"/>
      <c r="G56" s="89"/>
      <c r="H56" s="82"/>
    </row>
    <row r="57" spans="1:8" x14ac:dyDescent="0.25">
      <c r="A57" s="14" t="s">
        <v>294</v>
      </c>
      <c r="B57" s="82">
        <f>COUNTIF('New Trees'!E$6:E$153,A57)+COUNTIF('Updated Trees'!E$6:E$35,A57)</f>
        <v>2</v>
      </c>
      <c r="C57" s="86">
        <f t="shared" si="1"/>
        <v>1.1627906976744187</v>
      </c>
      <c r="D57" s="14" t="s">
        <v>2025</v>
      </c>
      <c r="E57" s="14" t="s">
        <v>1818</v>
      </c>
      <c r="F57" s="14"/>
      <c r="G57" s="89"/>
      <c r="H57" s="82"/>
    </row>
    <row r="58" spans="1:8" x14ac:dyDescent="0.25">
      <c r="A58" s="14" t="s">
        <v>679</v>
      </c>
      <c r="B58" s="82">
        <f>COUNTIF('New Trees'!E$6:E$153,A58)+COUNTIF('Updated Trees'!E$6:E$35,A58)</f>
        <v>1</v>
      </c>
      <c r="C58" s="86">
        <f t="shared" si="1"/>
        <v>0.58139534883720934</v>
      </c>
      <c r="D58" s="14" t="s">
        <v>679</v>
      </c>
      <c r="E58" s="14" t="s">
        <v>1818</v>
      </c>
      <c r="F58" s="14"/>
      <c r="G58" s="89"/>
      <c r="H58" s="82"/>
    </row>
    <row r="59" spans="1:8" x14ac:dyDescent="0.25">
      <c r="A59" s="14" t="s">
        <v>288</v>
      </c>
      <c r="B59" s="82">
        <f>COUNTIF('New Trees'!E$6:E$153,A59)+COUNTIF('Updated Trees'!E$6:E$35,A59)</f>
        <v>5</v>
      </c>
      <c r="C59" s="86">
        <f t="shared" si="1"/>
        <v>2.9069767441860463</v>
      </c>
      <c r="D59" s="14" t="s">
        <v>2033</v>
      </c>
      <c r="E59" s="14" t="s">
        <v>1830</v>
      </c>
      <c r="F59" s="14"/>
      <c r="G59" s="89"/>
      <c r="H59" s="82"/>
    </row>
    <row r="60" spans="1:8" x14ac:dyDescent="0.25">
      <c r="A60" s="14" t="s">
        <v>287</v>
      </c>
      <c r="B60" s="82">
        <f>COUNTIF('New Trees'!E$6:E$153,A60)+COUNTIF('Updated Trees'!E$6:E$35,A60)</f>
        <v>3</v>
      </c>
      <c r="C60" s="86">
        <f t="shared" si="1"/>
        <v>1.7441860465116279</v>
      </c>
      <c r="D60" s="14" t="s">
        <v>2037</v>
      </c>
      <c r="E60" s="14" t="s">
        <v>1904</v>
      </c>
      <c r="F60" s="14"/>
      <c r="G60" s="89"/>
      <c r="H60" s="82"/>
    </row>
    <row r="61" spans="1:8" x14ac:dyDescent="0.25">
      <c r="A61" s="14" t="s">
        <v>833</v>
      </c>
      <c r="B61" s="82">
        <f>COUNTIF('New Trees'!E$6:E$153,A61)+COUNTIF('Updated Trees'!E$6:E$35,A61)</f>
        <v>2</v>
      </c>
      <c r="C61" s="86">
        <f t="shared" si="1"/>
        <v>1.1627906976744187</v>
      </c>
      <c r="D61" s="14" t="s">
        <v>2026</v>
      </c>
      <c r="E61" s="14" t="s">
        <v>1818</v>
      </c>
      <c r="F61" s="14"/>
      <c r="G61" s="89"/>
      <c r="H61" s="82"/>
    </row>
    <row r="62" spans="1:8" x14ac:dyDescent="0.25">
      <c r="A62" s="14" t="s">
        <v>301</v>
      </c>
      <c r="B62" s="82">
        <f>COUNTIF('New Trees'!E$6:E$153,A62)+COUNTIF('Updated Trees'!E$6:E$35,A62)</f>
        <v>1</v>
      </c>
      <c r="C62" s="86">
        <f t="shared" si="1"/>
        <v>0.58139534883720934</v>
      </c>
      <c r="D62" s="14" t="s">
        <v>2044</v>
      </c>
      <c r="E62" s="14" t="s">
        <v>1818</v>
      </c>
      <c r="F62" s="14"/>
      <c r="G62" s="89"/>
      <c r="H62" s="82"/>
    </row>
    <row r="63" spans="1:8" x14ac:dyDescent="0.25">
      <c r="A63" s="14" t="s">
        <v>297</v>
      </c>
      <c r="B63" s="82">
        <f>COUNTIF('New Trees'!E$6:E$153,A63)+COUNTIF('Updated Trees'!E$6:E$35,A63)</f>
        <v>2</v>
      </c>
      <c r="C63" s="86">
        <f t="shared" si="1"/>
        <v>1.1627906976744187</v>
      </c>
      <c r="D63" s="14" t="s">
        <v>2009</v>
      </c>
      <c r="E63" s="14" t="s">
        <v>1818</v>
      </c>
      <c r="F63" s="14"/>
      <c r="G63" s="89"/>
      <c r="H63" s="82"/>
    </row>
    <row r="64" spans="1:8" x14ac:dyDescent="0.25">
      <c r="A64" s="14" t="s">
        <v>509</v>
      </c>
      <c r="B64" s="82">
        <f>COUNTIF('New Trees'!E$6:E$153,A64)+COUNTIF('Updated Trees'!E$6:E$35,A64)</f>
        <v>2</v>
      </c>
      <c r="C64" s="86">
        <f t="shared" si="1"/>
        <v>1.1627906976744187</v>
      </c>
      <c r="D64" s="14" t="s">
        <v>2050</v>
      </c>
      <c r="E64" s="14" t="s">
        <v>1818</v>
      </c>
      <c r="F64" s="14"/>
      <c r="G64" s="89"/>
      <c r="H64" s="82"/>
    </row>
    <row r="65" spans="1:8" x14ac:dyDescent="0.25">
      <c r="A65" s="14" t="s">
        <v>332</v>
      </c>
      <c r="B65" s="82">
        <f>COUNTIF('New Trees'!E$6:E$153,A65)+COUNTIF('Updated Trees'!E$6:E$35,A65)</f>
        <v>2</v>
      </c>
      <c r="C65" s="86">
        <f t="shared" si="1"/>
        <v>1.1627906976744187</v>
      </c>
      <c r="D65" s="14" t="s">
        <v>2057</v>
      </c>
      <c r="E65" s="14" t="s">
        <v>1818</v>
      </c>
      <c r="F65" s="14"/>
      <c r="G65" s="89"/>
      <c r="H65" s="82"/>
    </row>
    <row r="66" spans="1:8" x14ac:dyDescent="0.25">
      <c r="A66" s="14" t="s">
        <v>836</v>
      </c>
      <c r="B66" s="82">
        <f>COUNTIF('New Trees'!E$6:E$153,A66)+COUNTIF('Updated Trees'!E$6:E$35,A66)</f>
        <v>2</v>
      </c>
      <c r="C66" s="86">
        <f t="shared" si="1"/>
        <v>1.1627906976744187</v>
      </c>
      <c r="D66" s="14" t="s">
        <v>2056</v>
      </c>
      <c r="E66" s="14" t="s">
        <v>1818</v>
      </c>
      <c r="F66" s="14"/>
      <c r="G66" s="89"/>
      <c r="H66" s="82"/>
    </row>
    <row r="67" spans="1:8" x14ac:dyDescent="0.25">
      <c r="A67" s="14" t="s">
        <v>347</v>
      </c>
      <c r="B67" s="82">
        <f>COUNTIF('New Trees'!E$6:E$153,A67)+COUNTIF('Updated Trees'!E$6:E$35,A67)</f>
        <v>3</v>
      </c>
      <c r="C67" s="86">
        <f t="shared" si="1"/>
        <v>1.7441860465116279</v>
      </c>
      <c r="D67" s="14" t="s">
        <v>2061</v>
      </c>
      <c r="E67" s="14" t="s">
        <v>1830</v>
      </c>
      <c r="F67" s="14"/>
      <c r="G67" s="89"/>
      <c r="H67" s="82"/>
    </row>
    <row r="68" spans="1:8" x14ac:dyDescent="0.25">
      <c r="A68" s="14" t="s">
        <v>685</v>
      </c>
      <c r="B68" s="82">
        <f>COUNTIF('New Trees'!E$6:E$153,A68)+COUNTIF('Updated Trees'!E$6:E$35,A68)</f>
        <v>1</v>
      </c>
      <c r="C68" s="86">
        <f t="shared" si="1"/>
        <v>0.58139534883720934</v>
      </c>
      <c r="D68" s="14" t="s">
        <v>685</v>
      </c>
      <c r="E68" s="14" t="s">
        <v>1818</v>
      </c>
      <c r="F68" s="14"/>
      <c r="G68" s="89"/>
      <c r="H68" s="82"/>
    </row>
    <row r="69" spans="1:8" x14ac:dyDescent="0.25">
      <c r="A69" s="14" t="s">
        <v>1333</v>
      </c>
      <c r="B69" s="82">
        <f>COUNTIF('New Trees'!E$6:E$153,A69)+COUNTIF('Updated Trees'!E$6:E$35,A69)</f>
        <v>4</v>
      </c>
      <c r="C69" s="86">
        <f t="shared" ref="C69:C79" si="2">(B69/H$5)*100</f>
        <v>2.3255813953488373</v>
      </c>
      <c r="D69" s="14" t="s">
        <v>2067</v>
      </c>
      <c r="E69" s="14" t="s">
        <v>1819</v>
      </c>
      <c r="F69" s="14"/>
      <c r="G69" s="89"/>
      <c r="H69" s="82"/>
    </row>
    <row r="70" spans="1:8" x14ac:dyDescent="0.25">
      <c r="A70" s="14" t="s">
        <v>682</v>
      </c>
      <c r="B70" s="82">
        <f>COUNTIF('New Trees'!E$6:E$153,A70)+COUNTIF('Updated Trees'!E$6:E$35,A70)</f>
        <v>2</v>
      </c>
      <c r="C70" s="86">
        <f t="shared" si="2"/>
        <v>1.1627906976744187</v>
      </c>
      <c r="D70" s="14" t="s">
        <v>2070</v>
      </c>
      <c r="E70" s="14" t="s">
        <v>1818</v>
      </c>
      <c r="F70" s="14"/>
      <c r="G70" s="89"/>
      <c r="H70" s="82"/>
    </row>
    <row r="71" spans="1:8" x14ac:dyDescent="0.25">
      <c r="A71" s="14" t="s">
        <v>303</v>
      </c>
      <c r="B71" s="82">
        <f>COUNTIF('New Trees'!E$6:E$153,A71)+COUNTIF('Updated Trees'!E$6:E$35,A71)</f>
        <v>2</v>
      </c>
      <c r="C71" s="86">
        <f t="shared" si="2"/>
        <v>1.1627906976744187</v>
      </c>
      <c r="D71" s="14" t="s">
        <v>2075</v>
      </c>
      <c r="E71" s="14" t="s">
        <v>1904</v>
      </c>
      <c r="F71" s="14"/>
      <c r="G71" s="89"/>
      <c r="H71" s="82"/>
    </row>
    <row r="72" spans="1:8" x14ac:dyDescent="0.25">
      <c r="A72" s="14" t="s">
        <v>333</v>
      </c>
      <c r="B72" s="82">
        <f>COUNTIF('New Trees'!E$6:E$153,A72)+COUNTIF('Updated Trees'!E$6:E$35,A72)</f>
        <v>4</v>
      </c>
      <c r="C72" s="86">
        <f t="shared" si="2"/>
        <v>2.3255813953488373</v>
      </c>
      <c r="D72" s="14" t="s">
        <v>2079</v>
      </c>
      <c r="E72" s="14" t="s">
        <v>1830</v>
      </c>
      <c r="F72" s="14"/>
      <c r="G72" s="89"/>
      <c r="H72" s="82"/>
    </row>
    <row r="73" spans="1:8" x14ac:dyDescent="0.25">
      <c r="A73" s="14" t="s">
        <v>683</v>
      </c>
      <c r="B73" s="82">
        <f>COUNTIF('New Trees'!E$6:E$153,A73)+COUNTIF('Updated Trees'!E$6:E$35,A73)</f>
        <v>2</v>
      </c>
      <c r="C73" s="86">
        <f t="shared" si="2"/>
        <v>1.1627906976744187</v>
      </c>
      <c r="D73" s="14" t="s">
        <v>683</v>
      </c>
      <c r="E73" s="14" t="s">
        <v>1818</v>
      </c>
      <c r="F73" s="14"/>
      <c r="G73" s="89"/>
      <c r="H73" s="82"/>
    </row>
    <row r="74" spans="1:8" x14ac:dyDescent="0.25">
      <c r="A74" s="14" t="s">
        <v>290</v>
      </c>
      <c r="B74" s="82">
        <f>COUNTIF('New Trees'!E$6:E$153,A74)+COUNTIF('Updated Trees'!E$6:E$35,A74)</f>
        <v>2</v>
      </c>
      <c r="C74" s="86">
        <f t="shared" si="2"/>
        <v>1.1627906976744187</v>
      </c>
      <c r="D74" s="14" t="s">
        <v>2086</v>
      </c>
      <c r="E74" s="14" t="s">
        <v>1904</v>
      </c>
      <c r="F74" s="14"/>
      <c r="G74" s="89"/>
      <c r="H74" s="82"/>
    </row>
    <row r="75" spans="1:8" x14ac:dyDescent="0.25">
      <c r="A75" s="14" t="s">
        <v>316</v>
      </c>
      <c r="B75" s="82">
        <f>COUNTIF('New Trees'!E$6:E$153,A75)+COUNTIF('Updated Trees'!E$6:E$35,A75)</f>
        <v>1</v>
      </c>
      <c r="C75" s="86">
        <f t="shared" si="2"/>
        <v>0.58139534883720934</v>
      </c>
      <c r="D75" s="14" t="s">
        <v>316</v>
      </c>
      <c r="E75" s="14" t="s">
        <v>1818</v>
      </c>
      <c r="F75" s="14"/>
      <c r="G75" s="89"/>
      <c r="H75" s="82"/>
    </row>
    <row r="76" spans="1:8" x14ac:dyDescent="0.25">
      <c r="A76" s="14" t="s">
        <v>678</v>
      </c>
      <c r="B76" s="82">
        <f>COUNTIF('New Trees'!E$6:E$153,A76)+COUNTIF('Updated Trees'!E$6:E$35,A76)</f>
        <v>1</v>
      </c>
      <c r="C76" s="86">
        <f t="shared" si="2"/>
        <v>0.58139534883720934</v>
      </c>
      <c r="D76" s="14" t="s">
        <v>678</v>
      </c>
      <c r="E76" s="14" t="s">
        <v>1818</v>
      </c>
      <c r="F76" s="14"/>
      <c r="G76" s="89"/>
      <c r="H76" s="82"/>
    </row>
    <row r="77" spans="1:8" x14ac:dyDescent="0.25">
      <c r="A77" s="14" t="s">
        <v>337</v>
      </c>
      <c r="B77" s="82">
        <f>COUNTIF('New Trees'!E$6:E$153,A77)+COUNTIF('Updated Trees'!E$6:E$35,A77)</f>
        <v>2</v>
      </c>
      <c r="C77" s="86">
        <f t="shared" si="2"/>
        <v>1.1627906976744187</v>
      </c>
      <c r="D77" s="14" t="s">
        <v>2094</v>
      </c>
      <c r="E77" s="14" t="s">
        <v>1904</v>
      </c>
      <c r="F77" s="14"/>
      <c r="G77" s="89"/>
      <c r="H77" s="82"/>
    </row>
    <row r="78" spans="1:8" x14ac:dyDescent="0.25">
      <c r="A78" s="14" t="s">
        <v>1630</v>
      </c>
      <c r="B78" s="82">
        <f>COUNTIF('New Trees'!E$6:E$153,A78)+COUNTIF('Updated Trees'!E$6:E$35,A78)</f>
        <v>2</v>
      </c>
      <c r="C78" s="86">
        <f t="shared" si="2"/>
        <v>1.1627906976744187</v>
      </c>
      <c r="D78" s="14" t="s">
        <v>1628</v>
      </c>
      <c r="E78" s="14" t="s">
        <v>1818</v>
      </c>
      <c r="F78" s="14"/>
      <c r="G78" s="89"/>
      <c r="H78" s="82"/>
    </row>
    <row r="79" spans="1:8" x14ac:dyDescent="0.25">
      <c r="A79" s="14" t="s">
        <v>1824</v>
      </c>
      <c r="B79" s="82">
        <f>COUNTIF('New Trees'!E$6:E$153,A79)+COUNTIF('Updated Trees'!E$6:E$35,A79)</f>
        <v>2</v>
      </c>
      <c r="C79" s="86">
        <f t="shared" si="2"/>
        <v>1.1627906976744187</v>
      </c>
      <c r="D79" s="14" t="s">
        <v>2101</v>
      </c>
      <c r="E79" s="14" t="s">
        <v>1818</v>
      </c>
      <c r="F79" s="14"/>
      <c r="G79" s="89"/>
      <c r="H79" s="82"/>
    </row>
    <row r="80" spans="1:8" x14ac:dyDescent="0.25">
      <c r="G80" s="89"/>
      <c r="H80" s="82"/>
    </row>
    <row r="81" spans="1:21" x14ac:dyDescent="0.25">
      <c r="A81" s="162"/>
      <c r="B81" s="162"/>
      <c r="C81" s="162"/>
      <c r="D81" s="162"/>
      <c r="E81" s="162"/>
      <c r="F81" s="162"/>
      <c r="G81" s="162"/>
      <c r="H81" s="162"/>
      <c r="I81" s="162"/>
      <c r="J81" s="162"/>
      <c r="K81" s="162"/>
      <c r="L81" s="162"/>
      <c r="M81" s="162"/>
      <c r="N81" s="162"/>
      <c r="O81" s="162"/>
      <c r="P81" s="162"/>
      <c r="Q81" s="162"/>
      <c r="R81" s="162"/>
      <c r="S81" s="162"/>
      <c r="T81" s="162"/>
      <c r="U81" s="162"/>
    </row>
    <row r="82" spans="1:21" ht="15.75" thickBot="1" x14ac:dyDescent="0.3">
      <c r="A82" s="165" t="s">
        <v>1816</v>
      </c>
      <c r="B82" s="165"/>
      <c r="C82" s="165"/>
      <c r="D82" s="165"/>
      <c r="E82" s="165"/>
      <c r="F82" s="165"/>
      <c r="G82" s="165"/>
      <c r="H82" s="165"/>
      <c r="I82" s="165"/>
      <c r="J82" s="165"/>
      <c r="K82" s="165"/>
      <c r="L82" s="165"/>
      <c r="M82" s="165"/>
      <c r="N82" s="165"/>
      <c r="O82" s="165"/>
      <c r="P82" s="165"/>
      <c r="Q82" s="165"/>
      <c r="R82" s="165"/>
      <c r="S82" s="165"/>
      <c r="T82" s="165"/>
      <c r="U82" s="165"/>
    </row>
    <row r="83" spans="1:21" ht="15.75" thickTop="1" x14ac:dyDescent="0.25">
      <c r="A83" s="91" t="s">
        <v>318</v>
      </c>
      <c r="B83" s="91" t="s">
        <v>1817</v>
      </c>
      <c r="C83" s="92" t="s">
        <v>27</v>
      </c>
      <c r="D83" s="91" t="s">
        <v>1816</v>
      </c>
      <c r="E83" s="93" t="s">
        <v>1832</v>
      </c>
      <c r="F83" s="161" t="s">
        <v>149</v>
      </c>
      <c r="G83" s="161"/>
      <c r="H83" s="161"/>
      <c r="I83" s="161"/>
      <c r="J83" s="161"/>
      <c r="K83" s="161"/>
      <c r="L83" s="161"/>
      <c r="M83" s="161"/>
      <c r="N83" s="161"/>
      <c r="O83" s="161"/>
      <c r="P83" s="161"/>
      <c r="Q83" s="161"/>
      <c r="R83" s="161"/>
      <c r="S83" s="161"/>
      <c r="T83" s="161"/>
      <c r="U83" s="161"/>
    </row>
    <row r="84" spans="1:21" s="19" customFormat="1" ht="18.75" customHeight="1" x14ac:dyDescent="0.25">
      <c r="A84" s="76" t="s">
        <v>1330</v>
      </c>
      <c r="B84" s="77" t="s">
        <v>202</v>
      </c>
      <c r="C84" s="77" t="s">
        <v>1821</v>
      </c>
      <c r="D84" s="76" t="s">
        <v>1833</v>
      </c>
      <c r="E84" s="76" t="s">
        <v>1834</v>
      </c>
      <c r="F84" s="160"/>
      <c r="G84" s="160"/>
      <c r="H84" s="160"/>
      <c r="I84" s="160"/>
      <c r="J84" s="160"/>
      <c r="K84" s="160"/>
      <c r="L84" s="160"/>
      <c r="M84" s="160"/>
      <c r="N84" s="160"/>
      <c r="O84" s="160"/>
      <c r="P84" s="160"/>
      <c r="Q84" s="160"/>
      <c r="R84" s="160"/>
      <c r="S84" s="160"/>
      <c r="T84" s="160"/>
      <c r="U84" s="160"/>
    </row>
    <row r="85" spans="1:21" s="19" customFormat="1" ht="18.75" customHeight="1" x14ac:dyDescent="0.25">
      <c r="A85" s="76" t="s">
        <v>308</v>
      </c>
      <c r="B85" s="77" t="s">
        <v>202</v>
      </c>
      <c r="C85" s="77" t="s">
        <v>1820</v>
      </c>
      <c r="D85" s="76" t="s">
        <v>1836</v>
      </c>
      <c r="E85" s="76" t="s">
        <v>1837</v>
      </c>
      <c r="F85" s="159" t="s">
        <v>1838</v>
      </c>
      <c r="G85" s="159"/>
      <c r="H85" s="159"/>
      <c r="I85" s="159"/>
      <c r="J85" s="159"/>
      <c r="K85" s="159"/>
      <c r="L85" s="159"/>
      <c r="M85" s="159"/>
      <c r="N85" s="159"/>
      <c r="O85" s="159"/>
      <c r="P85" s="159"/>
      <c r="Q85" s="159"/>
      <c r="R85" s="159"/>
      <c r="S85" s="159"/>
      <c r="T85" s="159"/>
      <c r="U85" s="159"/>
    </row>
    <row r="86" spans="1:21" s="19" customFormat="1" ht="18.75" customHeight="1" x14ac:dyDescent="0.25">
      <c r="A86" s="76" t="s">
        <v>334</v>
      </c>
      <c r="B86" s="77" t="s">
        <v>170</v>
      </c>
      <c r="C86" s="77" t="s">
        <v>1821</v>
      </c>
      <c r="D86" s="76" t="s">
        <v>1841</v>
      </c>
      <c r="E86" s="76" t="s">
        <v>1842</v>
      </c>
      <c r="F86" s="159" t="s">
        <v>1843</v>
      </c>
      <c r="G86" s="159"/>
      <c r="H86" s="159"/>
      <c r="I86" s="159"/>
      <c r="J86" s="159"/>
      <c r="K86" s="159"/>
      <c r="L86" s="159"/>
      <c r="M86" s="159"/>
      <c r="N86" s="159"/>
      <c r="O86" s="159"/>
      <c r="P86" s="159"/>
      <c r="Q86" s="159"/>
      <c r="R86" s="159"/>
      <c r="S86" s="159"/>
      <c r="T86" s="159"/>
      <c r="U86" s="159"/>
    </row>
    <row r="87" spans="1:21" s="19" customFormat="1" ht="18.75" customHeight="1" x14ac:dyDescent="0.25">
      <c r="A87" s="20" t="s">
        <v>340</v>
      </c>
      <c r="B87" s="18" t="s">
        <v>170</v>
      </c>
      <c r="C87" s="18" t="s">
        <v>1821</v>
      </c>
      <c r="D87" s="20" t="s">
        <v>1845</v>
      </c>
      <c r="E87" s="20" t="s">
        <v>1846</v>
      </c>
      <c r="F87" s="159" t="s">
        <v>1847</v>
      </c>
      <c r="G87" s="159"/>
      <c r="H87" s="159"/>
      <c r="I87" s="159"/>
      <c r="J87" s="159"/>
      <c r="K87" s="159"/>
      <c r="L87" s="159"/>
      <c r="M87" s="159"/>
      <c r="N87" s="159"/>
      <c r="O87" s="159"/>
      <c r="P87" s="159"/>
      <c r="Q87" s="159"/>
      <c r="R87" s="159"/>
      <c r="S87" s="159"/>
      <c r="T87" s="159"/>
      <c r="U87" s="159"/>
    </row>
    <row r="88" spans="1:21" s="19" customFormat="1" ht="18.75" customHeight="1" x14ac:dyDescent="0.25">
      <c r="A88" s="76" t="s">
        <v>832</v>
      </c>
      <c r="B88" s="77" t="s">
        <v>202</v>
      </c>
      <c r="C88" s="77" t="s">
        <v>1821</v>
      </c>
      <c r="D88" s="76" t="s">
        <v>1848</v>
      </c>
      <c r="E88" s="76" t="s">
        <v>1849</v>
      </c>
      <c r="F88" s="159" t="s">
        <v>1850</v>
      </c>
      <c r="G88" s="159"/>
      <c r="H88" s="159"/>
      <c r="I88" s="159"/>
      <c r="J88" s="159"/>
      <c r="K88" s="159"/>
      <c r="L88" s="159"/>
      <c r="M88" s="159"/>
      <c r="N88" s="159"/>
      <c r="O88" s="159"/>
      <c r="P88" s="159"/>
      <c r="Q88" s="159"/>
      <c r="R88" s="159"/>
      <c r="S88" s="159"/>
      <c r="T88" s="159"/>
      <c r="U88" s="159"/>
    </row>
    <row r="89" spans="1:21" s="19" customFormat="1" ht="30" customHeight="1" x14ac:dyDescent="0.25">
      <c r="A89" s="76" t="s">
        <v>1823</v>
      </c>
      <c r="B89" s="77" t="s">
        <v>202</v>
      </c>
      <c r="C89" s="77" t="s">
        <v>1821</v>
      </c>
      <c r="D89" s="76" t="s">
        <v>1852</v>
      </c>
      <c r="E89" s="76" t="s">
        <v>1853</v>
      </c>
      <c r="F89" s="159" t="s">
        <v>1854</v>
      </c>
      <c r="G89" s="159"/>
      <c r="H89" s="159"/>
      <c r="I89" s="159"/>
      <c r="J89" s="159"/>
      <c r="K89" s="159"/>
      <c r="L89" s="159"/>
      <c r="M89" s="159"/>
      <c r="N89" s="159"/>
      <c r="O89" s="159"/>
      <c r="P89" s="159"/>
      <c r="Q89" s="159"/>
      <c r="R89" s="159"/>
      <c r="S89" s="159"/>
      <c r="T89" s="159"/>
      <c r="U89" s="159"/>
    </row>
    <row r="90" spans="1:21" s="19" customFormat="1" ht="30" customHeight="1" x14ac:dyDescent="0.25">
      <c r="A90" s="76" t="s">
        <v>307</v>
      </c>
      <c r="B90" s="77" t="s">
        <v>170</v>
      </c>
      <c r="C90" s="77" t="s">
        <v>1821</v>
      </c>
      <c r="D90" s="76" t="s">
        <v>1856</v>
      </c>
      <c r="E90" s="76" t="s">
        <v>1857</v>
      </c>
      <c r="F90" s="159" t="s">
        <v>1858</v>
      </c>
      <c r="G90" s="159"/>
      <c r="H90" s="159"/>
      <c r="I90" s="159"/>
      <c r="J90" s="159"/>
      <c r="K90" s="159"/>
      <c r="L90" s="159"/>
      <c r="M90" s="159"/>
      <c r="N90" s="159"/>
      <c r="O90" s="159"/>
      <c r="P90" s="159"/>
      <c r="Q90" s="159"/>
      <c r="R90" s="159"/>
      <c r="S90" s="159"/>
      <c r="T90" s="159"/>
      <c r="U90" s="159"/>
    </row>
    <row r="91" spans="1:21" s="19" customFormat="1" ht="30" customHeight="1" x14ac:dyDescent="0.25">
      <c r="A91" s="76" t="s">
        <v>834</v>
      </c>
      <c r="B91" s="77" t="s">
        <v>170</v>
      </c>
      <c r="C91" s="77" t="s">
        <v>1821</v>
      </c>
      <c r="D91" s="76" t="s">
        <v>1861</v>
      </c>
      <c r="E91" s="76" t="s">
        <v>1862</v>
      </c>
      <c r="F91" s="159" t="s">
        <v>1863</v>
      </c>
      <c r="G91" s="159"/>
      <c r="H91" s="159"/>
      <c r="I91" s="159"/>
      <c r="J91" s="159"/>
      <c r="K91" s="159"/>
      <c r="L91" s="159"/>
      <c r="M91" s="159"/>
      <c r="N91" s="159"/>
      <c r="O91" s="159"/>
      <c r="P91" s="159"/>
      <c r="Q91" s="159"/>
      <c r="R91" s="159"/>
      <c r="S91" s="159"/>
      <c r="T91" s="159"/>
      <c r="U91" s="159"/>
    </row>
    <row r="92" spans="1:21" s="19" customFormat="1" ht="18.75" customHeight="1" x14ac:dyDescent="0.25">
      <c r="A92" s="76" t="s">
        <v>345</v>
      </c>
      <c r="B92" s="77" t="s">
        <v>202</v>
      </c>
      <c r="C92" s="77" t="s">
        <v>1821</v>
      </c>
      <c r="D92" s="76" t="s">
        <v>1864</v>
      </c>
      <c r="E92" s="76" t="s">
        <v>1865</v>
      </c>
      <c r="F92" s="159" t="s">
        <v>1866</v>
      </c>
      <c r="G92" s="159"/>
      <c r="H92" s="159"/>
      <c r="I92" s="159"/>
      <c r="J92" s="159"/>
      <c r="K92" s="159"/>
      <c r="L92" s="159"/>
      <c r="M92" s="159"/>
      <c r="N92" s="159"/>
      <c r="O92" s="159"/>
      <c r="P92" s="159"/>
      <c r="Q92" s="159"/>
      <c r="R92" s="159"/>
      <c r="S92" s="159"/>
      <c r="T92" s="159"/>
      <c r="U92" s="159"/>
    </row>
    <row r="93" spans="1:21" s="19" customFormat="1" ht="30" customHeight="1" x14ac:dyDescent="0.25">
      <c r="A93" s="76" t="s">
        <v>1633</v>
      </c>
      <c r="B93" s="77" t="s">
        <v>202</v>
      </c>
      <c r="C93" s="77" t="s">
        <v>1821</v>
      </c>
      <c r="D93" s="76" t="s">
        <v>1867</v>
      </c>
      <c r="E93" s="76" t="s">
        <v>1868</v>
      </c>
      <c r="F93" s="159" t="s">
        <v>1869</v>
      </c>
      <c r="G93" s="159"/>
      <c r="H93" s="159"/>
      <c r="I93" s="159"/>
      <c r="J93" s="159"/>
      <c r="K93" s="159"/>
      <c r="L93" s="159"/>
      <c r="M93" s="159"/>
      <c r="N93" s="159"/>
      <c r="O93" s="159"/>
      <c r="P93" s="159"/>
      <c r="Q93" s="159"/>
      <c r="R93" s="159"/>
      <c r="S93" s="159"/>
      <c r="T93" s="159"/>
      <c r="U93" s="159"/>
    </row>
    <row r="94" spans="1:21" s="19" customFormat="1" ht="18.75" customHeight="1" x14ac:dyDescent="0.25">
      <c r="A94" s="76" t="s">
        <v>296</v>
      </c>
      <c r="B94" s="77" t="s">
        <v>170</v>
      </c>
      <c r="C94" s="77" t="s">
        <v>1821</v>
      </c>
      <c r="D94" s="76" t="s">
        <v>1873</v>
      </c>
      <c r="E94" s="76" t="s">
        <v>1874</v>
      </c>
      <c r="F94" s="159" t="s">
        <v>1875</v>
      </c>
      <c r="G94" s="159"/>
      <c r="H94" s="159"/>
      <c r="I94" s="159"/>
      <c r="J94" s="159"/>
      <c r="K94" s="159"/>
      <c r="L94" s="159"/>
      <c r="M94" s="159"/>
      <c r="N94" s="159"/>
      <c r="O94" s="159"/>
      <c r="P94" s="159"/>
      <c r="Q94" s="159"/>
      <c r="R94" s="159"/>
      <c r="S94" s="159"/>
      <c r="T94" s="159"/>
      <c r="U94" s="159"/>
    </row>
    <row r="95" spans="1:21" s="19" customFormat="1" ht="30" customHeight="1" x14ac:dyDescent="0.25">
      <c r="A95" s="76" t="s">
        <v>576</v>
      </c>
      <c r="B95" s="77" t="s">
        <v>170</v>
      </c>
      <c r="C95" s="77" t="s">
        <v>1821</v>
      </c>
      <c r="D95" s="76" t="s">
        <v>1879</v>
      </c>
      <c r="E95" s="76" t="s">
        <v>1880</v>
      </c>
      <c r="F95" s="159" t="s">
        <v>1881</v>
      </c>
      <c r="G95" s="159"/>
      <c r="H95" s="159"/>
      <c r="I95" s="159"/>
      <c r="J95" s="159"/>
      <c r="K95" s="159"/>
      <c r="L95" s="159"/>
      <c r="M95" s="159"/>
      <c r="N95" s="159"/>
      <c r="O95" s="159"/>
      <c r="P95" s="159"/>
      <c r="Q95" s="159"/>
      <c r="R95" s="159"/>
      <c r="S95" s="159"/>
      <c r="T95" s="159"/>
      <c r="U95" s="159"/>
    </row>
    <row r="96" spans="1:21" s="19" customFormat="1" ht="30" customHeight="1" x14ac:dyDescent="0.25">
      <c r="A96" s="76" t="s">
        <v>302</v>
      </c>
      <c r="B96" s="77" t="s">
        <v>202</v>
      </c>
      <c r="C96" s="77" t="s">
        <v>1821</v>
      </c>
      <c r="D96" s="76" t="s">
        <v>1882</v>
      </c>
      <c r="E96" s="76" t="s">
        <v>1883</v>
      </c>
      <c r="F96" s="159" t="s">
        <v>1884</v>
      </c>
      <c r="G96" s="159"/>
      <c r="H96" s="159"/>
      <c r="I96" s="159"/>
      <c r="J96" s="159"/>
      <c r="K96" s="159"/>
      <c r="L96" s="159"/>
      <c r="M96" s="159"/>
      <c r="N96" s="159"/>
      <c r="O96" s="159"/>
      <c r="P96" s="159"/>
      <c r="Q96" s="159"/>
      <c r="R96" s="159"/>
      <c r="S96" s="159"/>
      <c r="T96" s="159"/>
      <c r="U96" s="159"/>
    </row>
    <row r="97" spans="1:22" s="19" customFormat="1" ht="18.75" customHeight="1" x14ac:dyDescent="0.25">
      <c r="A97" s="76" t="s">
        <v>46</v>
      </c>
      <c r="B97" s="77" t="s">
        <v>202</v>
      </c>
      <c r="C97" s="77" t="s">
        <v>1820</v>
      </c>
      <c r="D97" s="76" t="s">
        <v>1885</v>
      </c>
      <c r="E97" s="76" t="s">
        <v>1886</v>
      </c>
      <c r="F97" s="159" t="s">
        <v>1887</v>
      </c>
      <c r="G97" s="159"/>
      <c r="H97" s="159"/>
      <c r="I97" s="159"/>
      <c r="J97" s="159"/>
      <c r="K97" s="159"/>
      <c r="L97" s="159"/>
      <c r="M97" s="159"/>
      <c r="N97" s="159"/>
      <c r="O97" s="159"/>
      <c r="P97" s="159"/>
      <c r="Q97" s="159"/>
      <c r="R97" s="159"/>
      <c r="S97" s="159"/>
      <c r="T97" s="159"/>
      <c r="U97" s="159"/>
    </row>
    <row r="98" spans="1:22" s="19" customFormat="1" ht="30" customHeight="1" x14ac:dyDescent="0.25">
      <c r="A98" s="76" t="s">
        <v>708</v>
      </c>
      <c r="B98" s="77" t="s">
        <v>170</v>
      </c>
      <c r="C98" s="77" t="s">
        <v>1821</v>
      </c>
      <c r="D98" s="76" t="s">
        <v>1888</v>
      </c>
      <c r="E98" s="76" t="s">
        <v>1889</v>
      </c>
      <c r="F98" s="159" t="s">
        <v>1890</v>
      </c>
      <c r="G98" s="159"/>
      <c r="H98" s="159"/>
      <c r="I98" s="159"/>
      <c r="J98" s="159"/>
      <c r="K98" s="159"/>
      <c r="L98" s="159"/>
      <c r="M98" s="159"/>
      <c r="N98" s="159"/>
      <c r="O98" s="159"/>
      <c r="P98" s="159"/>
      <c r="Q98" s="159"/>
      <c r="R98" s="159"/>
      <c r="S98" s="159"/>
      <c r="T98" s="159"/>
      <c r="U98" s="159"/>
    </row>
    <row r="99" spans="1:22" s="19" customFormat="1" ht="18.75" customHeight="1" x14ac:dyDescent="0.25">
      <c r="A99" s="76" t="s">
        <v>295</v>
      </c>
      <c r="B99" s="77" t="s">
        <v>170</v>
      </c>
      <c r="C99" s="77" t="s">
        <v>1821</v>
      </c>
      <c r="D99" s="76" t="s">
        <v>1891</v>
      </c>
      <c r="E99" s="76" t="s">
        <v>1892</v>
      </c>
      <c r="F99" s="159" t="s">
        <v>1893</v>
      </c>
      <c r="G99" s="159"/>
      <c r="H99" s="159"/>
      <c r="I99" s="159"/>
      <c r="J99" s="159"/>
      <c r="K99" s="159"/>
      <c r="L99" s="159"/>
      <c r="M99" s="159"/>
      <c r="N99" s="159"/>
      <c r="O99" s="159"/>
      <c r="P99" s="159"/>
      <c r="Q99" s="159"/>
      <c r="R99" s="159"/>
      <c r="S99" s="159"/>
      <c r="T99" s="159"/>
      <c r="U99" s="159"/>
    </row>
    <row r="100" spans="1:22" s="19" customFormat="1" ht="30" customHeight="1" x14ac:dyDescent="0.25">
      <c r="A100" s="76" t="s">
        <v>335</v>
      </c>
      <c r="B100" s="77" t="s">
        <v>170</v>
      </c>
      <c r="C100" s="77" t="s">
        <v>1821</v>
      </c>
      <c r="D100" s="76" t="s">
        <v>1894</v>
      </c>
      <c r="E100" s="76" t="s">
        <v>1895</v>
      </c>
      <c r="F100" s="159" t="s">
        <v>1896</v>
      </c>
      <c r="G100" s="159"/>
      <c r="H100" s="159"/>
      <c r="I100" s="159"/>
      <c r="J100" s="159"/>
      <c r="K100" s="159"/>
      <c r="L100" s="159"/>
      <c r="M100" s="159"/>
      <c r="N100" s="159"/>
      <c r="O100" s="159"/>
      <c r="P100" s="159"/>
      <c r="Q100" s="159"/>
      <c r="R100" s="159"/>
      <c r="S100" s="159"/>
      <c r="T100" s="159"/>
      <c r="U100" s="159"/>
    </row>
    <row r="101" spans="1:22" s="19" customFormat="1" ht="18.75" customHeight="1" x14ac:dyDescent="0.25">
      <c r="A101" s="76" t="s">
        <v>677</v>
      </c>
      <c r="B101" s="77" t="s">
        <v>202</v>
      </c>
      <c r="C101" s="77" t="s">
        <v>1821</v>
      </c>
      <c r="D101" s="76" t="s">
        <v>1897</v>
      </c>
      <c r="E101" s="76" t="s">
        <v>1898</v>
      </c>
      <c r="F101" s="159" t="s">
        <v>1899</v>
      </c>
      <c r="G101" s="159"/>
      <c r="H101" s="159"/>
      <c r="I101" s="159"/>
      <c r="J101" s="159"/>
      <c r="K101" s="159"/>
      <c r="L101" s="159"/>
      <c r="M101" s="159"/>
      <c r="N101" s="159"/>
      <c r="O101" s="159"/>
      <c r="P101" s="159"/>
      <c r="Q101" s="159"/>
      <c r="R101" s="159"/>
      <c r="S101" s="159"/>
      <c r="T101" s="159"/>
      <c r="U101" s="159"/>
    </row>
    <row r="102" spans="1:22" s="19" customFormat="1" ht="18.75" customHeight="1" x14ac:dyDescent="0.25">
      <c r="A102" s="76" t="s">
        <v>680</v>
      </c>
      <c r="B102" s="77" t="s">
        <v>170</v>
      </c>
      <c r="C102" s="77" t="s">
        <v>1821</v>
      </c>
      <c r="D102" s="76" t="s">
        <v>1900</v>
      </c>
      <c r="E102" s="76" t="s">
        <v>1901</v>
      </c>
      <c r="F102" s="159" t="s">
        <v>1902</v>
      </c>
      <c r="G102" s="159"/>
      <c r="H102" s="159"/>
      <c r="I102" s="159"/>
      <c r="J102" s="159"/>
      <c r="K102" s="159"/>
      <c r="L102" s="159"/>
      <c r="M102" s="159"/>
      <c r="N102" s="159"/>
      <c r="O102" s="159"/>
      <c r="P102" s="159"/>
      <c r="Q102" s="159"/>
      <c r="R102" s="159"/>
      <c r="S102" s="159"/>
      <c r="T102" s="159"/>
      <c r="U102" s="159"/>
    </row>
    <row r="103" spans="1:22" s="19" customFormat="1" ht="30" customHeight="1" x14ac:dyDescent="0.25">
      <c r="A103" s="76" t="s">
        <v>292</v>
      </c>
      <c r="B103" s="77" t="s">
        <v>202</v>
      </c>
      <c r="C103" s="77" t="s">
        <v>1820</v>
      </c>
      <c r="D103" s="76" t="s">
        <v>1905</v>
      </c>
      <c r="E103" s="76" t="s">
        <v>1906</v>
      </c>
      <c r="F103" s="159" t="s">
        <v>1907</v>
      </c>
      <c r="G103" s="159"/>
      <c r="H103" s="159"/>
      <c r="I103" s="159"/>
      <c r="J103" s="159"/>
      <c r="K103" s="159"/>
      <c r="L103" s="159"/>
      <c r="M103" s="159"/>
      <c r="N103" s="159"/>
      <c r="O103" s="159"/>
      <c r="P103" s="159"/>
      <c r="Q103" s="159"/>
      <c r="R103" s="159"/>
      <c r="S103" s="159"/>
      <c r="T103" s="159"/>
      <c r="U103" s="159"/>
    </row>
    <row r="104" spans="1:22" s="19" customFormat="1" ht="18.75" customHeight="1" x14ac:dyDescent="0.25">
      <c r="A104" s="76" t="s">
        <v>1331</v>
      </c>
      <c r="B104" s="77" t="s">
        <v>202</v>
      </c>
      <c r="C104" s="77" t="s">
        <v>1820</v>
      </c>
      <c r="D104" s="76" t="s">
        <v>1909</v>
      </c>
      <c r="E104" s="76" t="s">
        <v>1840</v>
      </c>
      <c r="F104" s="159" t="s">
        <v>1910</v>
      </c>
      <c r="G104" s="159"/>
      <c r="H104" s="159"/>
      <c r="I104" s="159"/>
      <c r="J104" s="159"/>
      <c r="K104" s="159"/>
      <c r="L104" s="159"/>
      <c r="M104" s="159"/>
      <c r="N104" s="159"/>
      <c r="O104" s="159"/>
      <c r="P104" s="159"/>
      <c r="Q104" s="159"/>
      <c r="R104" s="159"/>
      <c r="S104" s="159"/>
      <c r="T104" s="159"/>
      <c r="U104" s="159"/>
    </row>
    <row r="105" spans="1:22" s="19" customFormat="1" ht="30" customHeight="1" x14ac:dyDescent="0.25">
      <c r="A105" s="76" t="s">
        <v>304</v>
      </c>
      <c r="B105" s="77" t="s">
        <v>202</v>
      </c>
      <c r="C105" s="77" t="s">
        <v>1820</v>
      </c>
      <c r="D105" s="76" t="s">
        <v>1911</v>
      </c>
      <c r="E105" s="76" t="s">
        <v>1912</v>
      </c>
      <c r="F105" s="159" t="s">
        <v>1913</v>
      </c>
      <c r="G105" s="159"/>
      <c r="H105" s="159"/>
      <c r="I105" s="159"/>
      <c r="J105" s="159"/>
      <c r="K105" s="159"/>
      <c r="L105" s="159"/>
      <c r="M105" s="159"/>
      <c r="N105" s="159"/>
      <c r="O105" s="159"/>
      <c r="P105" s="159"/>
      <c r="Q105" s="159"/>
      <c r="R105" s="159"/>
      <c r="S105" s="159"/>
      <c r="T105" s="159"/>
      <c r="U105" s="159"/>
    </row>
    <row r="106" spans="1:22" s="19" customFormat="1" ht="30" customHeight="1" x14ac:dyDescent="0.25">
      <c r="A106" s="76" t="s">
        <v>336</v>
      </c>
      <c r="B106" s="77" t="s">
        <v>170</v>
      </c>
      <c r="C106" s="77" t="s">
        <v>1821</v>
      </c>
      <c r="D106" s="76" t="s">
        <v>1914</v>
      </c>
      <c r="E106" s="76" t="s">
        <v>1915</v>
      </c>
      <c r="F106" s="159" t="s">
        <v>1916</v>
      </c>
      <c r="G106" s="159"/>
      <c r="H106" s="159"/>
      <c r="I106" s="159"/>
      <c r="J106" s="159"/>
      <c r="K106" s="159"/>
      <c r="L106" s="159"/>
      <c r="M106" s="159"/>
      <c r="N106" s="159"/>
      <c r="O106" s="159"/>
      <c r="P106" s="159"/>
      <c r="Q106" s="159"/>
      <c r="R106" s="159"/>
      <c r="S106" s="159"/>
      <c r="T106" s="159"/>
      <c r="U106" s="159"/>
    </row>
    <row r="107" spans="1:22" s="19" customFormat="1" ht="18.75" customHeight="1" x14ac:dyDescent="0.25">
      <c r="A107" s="76" t="s">
        <v>1554</v>
      </c>
      <c r="B107" s="77" t="s">
        <v>170</v>
      </c>
      <c r="C107" s="77" t="s">
        <v>1821</v>
      </c>
      <c r="D107" s="76" t="s">
        <v>1918</v>
      </c>
      <c r="E107" s="76" t="s">
        <v>1919</v>
      </c>
      <c r="F107" s="159" t="s">
        <v>1920</v>
      </c>
      <c r="G107" s="159"/>
      <c r="H107" s="159"/>
      <c r="I107" s="159"/>
      <c r="J107" s="159"/>
      <c r="K107" s="159"/>
      <c r="L107" s="159"/>
      <c r="M107" s="159"/>
      <c r="N107" s="159"/>
      <c r="O107" s="159"/>
      <c r="P107" s="159"/>
      <c r="Q107" s="159"/>
      <c r="R107" s="159"/>
      <c r="S107" s="159"/>
      <c r="T107" s="159"/>
      <c r="U107" s="159"/>
    </row>
    <row r="108" spans="1:22" s="19" customFormat="1" x14ac:dyDescent="0.25">
      <c r="A108" s="76" t="s">
        <v>431</v>
      </c>
      <c r="B108" s="77" t="s">
        <v>202</v>
      </c>
      <c r="C108" s="77" t="s">
        <v>1820</v>
      </c>
      <c r="D108" s="76" t="s">
        <v>1921</v>
      </c>
      <c r="E108" s="76" t="s">
        <v>1922</v>
      </c>
      <c r="F108" s="163" t="s">
        <v>1923</v>
      </c>
      <c r="G108" s="163"/>
      <c r="H108" s="163"/>
      <c r="I108" s="163"/>
      <c r="J108" s="163"/>
      <c r="K108" s="163"/>
      <c r="L108" s="163"/>
      <c r="M108" s="163"/>
      <c r="N108" s="163"/>
      <c r="O108" s="163"/>
      <c r="P108" s="163"/>
      <c r="Q108" s="163"/>
      <c r="R108" s="163"/>
      <c r="S108" s="163"/>
      <c r="T108" s="163"/>
      <c r="U108" s="163"/>
    </row>
    <row r="109" spans="1:22" s="19" customFormat="1" x14ac:dyDescent="0.25">
      <c r="A109" s="76" t="s">
        <v>500</v>
      </c>
      <c r="B109" s="77" t="s">
        <v>202</v>
      </c>
      <c r="C109" s="77" t="s">
        <v>1821</v>
      </c>
      <c r="D109" s="76" t="s">
        <v>1925</v>
      </c>
      <c r="E109" s="76" t="s">
        <v>1926</v>
      </c>
      <c r="F109" s="163" t="s">
        <v>1927</v>
      </c>
      <c r="G109" s="163"/>
      <c r="H109" s="163"/>
      <c r="I109" s="163"/>
      <c r="J109" s="163"/>
      <c r="K109" s="163"/>
      <c r="L109" s="163"/>
      <c r="M109" s="163"/>
      <c r="N109" s="163"/>
      <c r="O109" s="163"/>
      <c r="P109" s="163"/>
      <c r="Q109" s="163"/>
      <c r="R109" s="163"/>
      <c r="S109" s="163"/>
      <c r="T109" s="163"/>
      <c r="U109" s="163"/>
    </row>
    <row r="110" spans="1:22" x14ac:dyDescent="0.25">
      <c r="A110" s="76" t="s">
        <v>228</v>
      </c>
      <c r="B110" s="77" t="s">
        <v>202</v>
      </c>
      <c r="C110" s="77" t="s">
        <v>1821</v>
      </c>
      <c r="D110" s="76" t="s">
        <v>1929</v>
      </c>
      <c r="E110" s="76" t="s">
        <v>1930</v>
      </c>
      <c r="F110" s="163" t="s">
        <v>1931</v>
      </c>
      <c r="G110" s="163"/>
      <c r="H110" s="163"/>
      <c r="I110" s="163"/>
      <c r="J110" s="163"/>
      <c r="K110" s="163"/>
      <c r="L110" s="163"/>
      <c r="M110" s="163"/>
      <c r="N110" s="163"/>
      <c r="O110" s="163"/>
      <c r="P110" s="163"/>
      <c r="Q110" s="163"/>
      <c r="R110" s="163"/>
      <c r="S110" s="163"/>
      <c r="T110" s="163"/>
      <c r="U110" s="163"/>
      <c r="V110" s="19"/>
    </row>
    <row r="111" spans="1:22" x14ac:dyDescent="0.25">
      <c r="A111" s="76" t="s">
        <v>451</v>
      </c>
      <c r="B111" s="77" t="s">
        <v>202</v>
      </c>
      <c r="C111" s="77" t="s">
        <v>1821</v>
      </c>
      <c r="D111" s="76" t="s">
        <v>1933</v>
      </c>
      <c r="E111" s="76" t="s">
        <v>1934</v>
      </c>
      <c r="F111" s="163" t="s">
        <v>1935</v>
      </c>
      <c r="G111" s="163"/>
      <c r="H111" s="163"/>
      <c r="I111" s="163"/>
      <c r="J111" s="163"/>
      <c r="K111" s="163"/>
      <c r="L111" s="163"/>
      <c r="M111" s="163"/>
      <c r="N111" s="163"/>
      <c r="O111" s="163"/>
      <c r="P111" s="163"/>
      <c r="Q111" s="163"/>
      <c r="R111" s="163"/>
      <c r="S111" s="163"/>
      <c r="T111" s="163"/>
      <c r="U111" s="163"/>
      <c r="V111" s="19"/>
    </row>
    <row r="112" spans="1:22" ht="30" customHeight="1" x14ac:dyDescent="0.25">
      <c r="A112" s="76" t="s">
        <v>684</v>
      </c>
      <c r="B112" s="77" t="s">
        <v>170</v>
      </c>
      <c r="C112" s="77" t="s">
        <v>1821</v>
      </c>
      <c r="D112" s="76" t="s">
        <v>1937</v>
      </c>
      <c r="E112" s="76" t="s">
        <v>1938</v>
      </c>
      <c r="F112" s="159" t="s">
        <v>1939</v>
      </c>
      <c r="G112" s="159"/>
      <c r="H112" s="159"/>
      <c r="I112" s="159"/>
      <c r="J112" s="159"/>
      <c r="K112" s="159"/>
      <c r="L112" s="159"/>
      <c r="M112" s="159"/>
      <c r="N112" s="159"/>
      <c r="O112" s="159"/>
      <c r="P112" s="159"/>
      <c r="Q112" s="159"/>
      <c r="R112" s="159"/>
      <c r="S112" s="159"/>
      <c r="T112" s="159"/>
      <c r="U112" s="159"/>
      <c r="V112" s="19"/>
    </row>
    <row r="113" spans="1:22" x14ac:dyDescent="0.25">
      <c r="A113" s="76" t="s">
        <v>284</v>
      </c>
      <c r="B113" s="77" t="s">
        <v>202</v>
      </c>
      <c r="C113" s="77" t="s">
        <v>1820</v>
      </c>
      <c r="D113" s="76" t="s">
        <v>1941</v>
      </c>
      <c r="E113" s="76" t="s">
        <v>1942</v>
      </c>
      <c r="F113" s="163" t="s">
        <v>1943</v>
      </c>
      <c r="G113" s="163"/>
      <c r="H113" s="163"/>
      <c r="I113" s="163"/>
      <c r="J113" s="163"/>
      <c r="K113" s="163"/>
      <c r="L113" s="163"/>
      <c r="M113" s="163"/>
      <c r="N113" s="163"/>
      <c r="O113" s="163"/>
      <c r="P113" s="163"/>
      <c r="Q113" s="163"/>
      <c r="R113" s="163"/>
      <c r="S113" s="163"/>
      <c r="T113" s="163"/>
      <c r="U113" s="163"/>
      <c r="V113" s="19"/>
    </row>
    <row r="114" spans="1:22" ht="30" customHeight="1" x14ac:dyDescent="0.25">
      <c r="A114" s="76" t="s">
        <v>1825</v>
      </c>
      <c r="B114" s="77" t="s">
        <v>202</v>
      </c>
      <c r="C114" s="77" t="s">
        <v>1821</v>
      </c>
      <c r="D114" s="76" t="s">
        <v>1945</v>
      </c>
      <c r="E114" s="76" t="s">
        <v>1946</v>
      </c>
      <c r="F114" s="159" t="s">
        <v>1947</v>
      </c>
      <c r="G114" s="159"/>
      <c r="H114" s="159"/>
      <c r="I114" s="159"/>
      <c r="J114" s="159"/>
      <c r="K114" s="159"/>
      <c r="L114" s="159"/>
      <c r="M114" s="159"/>
      <c r="N114" s="159"/>
      <c r="O114" s="159"/>
      <c r="P114" s="159"/>
      <c r="Q114" s="159"/>
      <c r="R114" s="159"/>
      <c r="S114" s="159"/>
      <c r="T114" s="159"/>
      <c r="U114" s="159"/>
      <c r="V114" s="19"/>
    </row>
    <row r="115" spans="1:22" ht="30" customHeight="1" x14ac:dyDescent="0.25">
      <c r="A115" s="76" t="s">
        <v>468</v>
      </c>
      <c r="B115" s="77" t="s">
        <v>202</v>
      </c>
      <c r="C115" s="77" t="s">
        <v>1820</v>
      </c>
      <c r="D115" s="76" t="s">
        <v>1948</v>
      </c>
      <c r="E115" s="76" t="s">
        <v>1949</v>
      </c>
      <c r="F115" s="159" t="s">
        <v>1950</v>
      </c>
      <c r="G115" s="159"/>
      <c r="H115" s="159"/>
      <c r="I115" s="159"/>
      <c r="J115" s="159"/>
      <c r="K115" s="159"/>
      <c r="L115" s="159"/>
      <c r="M115" s="159"/>
      <c r="N115" s="159"/>
      <c r="O115" s="159"/>
      <c r="P115" s="159"/>
      <c r="Q115" s="159"/>
      <c r="R115" s="159"/>
      <c r="S115" s="159"/>
      <c r="T115" s="159"/>
      <c r="U115" s="159"/>
      <c r="V115" s="19"/>
    </row>
    <row r="116" spans="1:22" x14ac:dyDescent="0.25">
      <c r="A116" s="76" t="s">
        <v>1638</v>
      </c>
      <c r="B116" s="77" t="s">
        <v>202</v>
      </c>
      <c r="C116" s="77" t="s">
        <v>1820</v>
      </c>
      <c r="D116" s="76" t="s">
        <v>1953</v>
      </c>
      <c r="E116" s="76" t="s">
        <v>1954</v>
      </c>
      <c r="F116" s="163" t="s">
        <v>1955</v>
      </c>
      <c r="G116" s="163"/>
      <c r="H116" s="163"/>
      <c r="I116" s="163"/>
      <c r="J116" s="163"/>
      <c r="K116" s="163"/>
      <c r="L116" s="163"/>
      <c r="M116" s="163"/>
      <c r="N116" s="163"/>
      <c r="O116" s="163"/>
      <c r="P116" s="163"/>
      <c r="Q116" s="163"/>
      <c r="R116" s="163"/>
      <c r="S116" s="163"/>
      <c r="T116" s="163"/>
      <c r="U116" s="163"/>
      <c r="V116" s="19"/>
    </row>
    <row r="117" spans="1:22" x14ac:dyDescent="0.25">
      <c r="A117" s="76" t="s">
        <v>156</v>
      </c>
      <c r="B117" s="77" t="s">
        <v>202</v>
      </c>
      <c r="C117" s="77" t="s">
        <v>1821</v>
      </c>
      <c r="D117" s="76" t="s">
        <v>1957</v>
      </c>
      <c r="E117" s="76" t="s">
        <v>1958</v>
      </c>
      <c r="F117" s="163" t="s">
        <v>1959</v>
      </c>
      <c r="G117" s="163"/>
      <c r="H117" s="163"/>
      <c r="I117" s="163"/>
      <c r="J117" s="163"/>
      <c r="K117" s="163"/>
      <c r="L117" s="163"/>
      <c r="M117" s="163"/>
      <c r="N117" s="163"/>
      <c r="O117" s="163"/>
      <c r="P117" s="163"/>
      <c r="Q117" s="163"/>
      <c r="R117" s="163"/>
      <c r="S117" s="163"/>
      <c r="T117" s="163"/>
      <c r="U117" s="163"/>
      <c r="V117" s="19"/>
    </row>
    <row r="118" spans="1:22" ht="30" customHeight="1" x14ac:dyDescent="0.25">
      <c r="A118" s="76" t="s">
        <v>1827</v>
      </c>
      <c r="B118" s="77" t="s">
        <v>202</v>
      </c>
      <c r="C118" s="77" t="s">
        <v>1821</v>
      </c>
      <c r="D118" s="76" t="s">
        <v>1960</v>
      </c>
      <c r="E118" s="76" t="s">
        <v>1962</v>
      </c>
      <c r="F118" s="159" t="s">
        <v>1963</v>
      </c>
      <c r="G118" s="159"/>
      <c r="H118" s="159"/>
      <c r="I118" s="159"/>
      <c r="J118" s="159"/>
      <c r="K118" s="159"/>
      <c r="L118" s="159"/>
      <c r="M118" s="159"/>
      <c r="N118" s="159"/>
      <c r="O118" s="159"/>
      <c r="P118" s="159"/>
      <c r="Q118" s="159"/>
      <c r="R118" s="159"/>
      <c r="S118" s="159"/>
      <c r="T118" s="159"/>
      <c r="U118" s="159"/>
      <c r="V118" s="19"/>
    </row>
    <row r="119" spans="1:22" ht="30" customHeight="1" x14ac:dyDescent="0.25">
      <c r="A119" s="76" t="s">
        <v>306</v>
      </c>
      <c r="B119" s="77" t="s">
        <v>202</v>
      </c>
      <c r="C119" s="77" t="s">
        <v>1820</v>
      </c>
      <c r="D119" s="76" t="s">
        <v>1964</v>
      </c>
      <c r="E119" s="76" t="s">
        <v>1966</v>
      </c>
      <c r="F119" s="159" t="s">
        <v>1967</v>
      </c>
      <c r="G119" s="159"/>
      <c r="H119" s="159"/>
      <c r="I119" s="159"/>
      <c r="J119" s="159"/>
      <c r="K119" s="159"/>
      <c r="L119" s="159"/>
      <c r="M119" s="159"/>
      <c r="N119" s="159"/>
      <c r="O119" s="159"/>
      <c r="P119" s="159"/>
      <c r="Q119" s="159"/>
      <c r="R119" s="159"/>
      <c r="S119" s="159"/>
      <c r="T119" s="159"/>
      <c r="U119" s="159"/>
      <c r="V119" s="19"/>
    </row>
    <row r="120" spans="1:22" ht="30" customHeight="1" x14ac:dyDescent="0.25">
      <c r="A120" s="76" t="s">
        <v>305</v>
      </c>
      <c r="B120" s="77" t="s">
        <v>170</v>
      </c>
      <c r="C120" s="77" t="s">
        <v>1821</v>
      </c>
      <c r="D120" s="76" t="s">
        <v>1969</v>
      </c>
      <c r="E120" s="76" t="s">
        <v>1970</v>
      </c>
      <c r="F120" s="159" t="s">
        <v>1971</v>
      </c>
      <c r="G120" s="159"/>
      <c r="H120" s="159"/>
      <c r="I120" s="159"/>
      <c r="J120" s="159"/>
      <c r="K120" s="159"/>
      <c r="L120" s="159"/>
      <c r="M120" s="159"/>
      <c r="N120" s="159"/>
      <c r="O120" s="159"/>
      <c r="P120" s="159"/>
      <c r="Q120" s="159"/>
      <c r="R120" s="159"/>
      <c r="S120" s="159"/>
      <c r="T120" s="159"/>
      <c r="U120" s="159"/>
      <c r="V120" s="19"/>
    </row>
    <row r="121" spans="1:22" x14ac:dyDescent="0.25">
      <c r="A121" s="76" t="s">
        <v>478</v>
      </c>
      <c r="B121" s="77" t="s">
        <v>170</v>
      </c>
      <c r="C121" s="77" t="s">
        <v>1821</v>
      </c>
      <c r="D121" s="76" t="s">
        <v>1972</v>
      </c>
      <c r="E121" s="76" t="s">
        <v>1973</v>
      </c>
      <c r="F121" s="163" t="s">
        <v>1974</v>
      </c>
      <c r="G121" s="163"/>
      <c r="H121" s="163"/>
      <c r="I121" s="163"/>
      <c r="J121" s="163"/>
      <c r="K121" s="163"/>
      <c r="L121" s="163"/>
      <c r="M121" s="163"/>
      <c r="N121" s="163"/>
      <c r="O121" s="163"/>
      <c r="P121" s="163"/>
      <c r="Q121" s="163"/>
      <c r="R121" s="163"/>
      <c r="S121" s="163"/>
      <c r="T121" s="163"/>
      <c r="U121" s="163"/>
      <c r="V121" s="19"/>
    </row>
    <row r="122" spans="1:22" ht="30" customHeight="1" x14ac:dyDescent="0.25">
      <c r="A122" s="76" t="s">
        <v>699</v>
      </c>
      <c r="B122" s="77" t="s">
        <v>170</v>
      </c>
      <c r="C122" s="77" t="s">
        <v>1822</v>
      </c>
      <c r="D122" s="94" t="s">
        <v>1975</v>
      </c>
      <c r="E122" s="94" t="s">
        <v>1039</v>
      </c>
      <c r="F122" s="159" t="s">
        <v>1976</v>
      </c>
      <c r="G122" s="159"/>
      <c r="H122" s="159"/>
      <c r="I122" s="159"/>
      <c r="J122" s="159"/>
      <c r="K122" s="159"/>
      <c r="L122" s="159"/>
      <c r="M122" s="159"/>
      <c r="N122" s="159"/>
      <c r="O122" s="159"/>
      <c r="P122" s="159"/>
      <c r="Q122" s="159"/>
      <c r="R122" s="159"/>
      <c r="S122" s="159"/>
      <c r="T122" s="159"/>
      <c r="U122" s="159"/>
      <c r="V122" s="19"/>
    </row>
    <row r="123" spans="1:22" ht="30" customHeight="1" x14ac:dyDescent="0.25">
      <c r="A123" s="76" t="s">
        <v>339</v>
      </c>
      <c r="B123" s="77" t="s">
        <v>170</v>
      </c>
      <c r="C123" s="77" t="s">
        <v>1821</v>
      </c>
      <c r="D123" s="76" t="s">
        <v>1977</v>
      </c>
      <c r="E123" s="76" t="s">
        <v>1978</v>
      </c>
      <c r="F123" s="159" t="s">
        <v>1979</v>
      </c>
      <c r="G123" s="159"/>
      <c r="H123" s="159"/>
      <c r="I123" s="159"/>
      <c r="J123" s="159"/>
      <c r="K123" s="159"/>
      <c r="L123" s="159"/>
      <c r="M123" s="159"/>
      <c r="N123" s="159"/>
      <c r="O123" s="159"/>
      <c r="P123" s="159"/>
      <c r="Q123" s="159"/>
      <c r="R123" s="159"/>
      <c r="S123" s="159"/>
      <c r="T123" s="159"/>
      <c r="U123" s="159"/>
      <c r="V123" s="19"/>
    </row>
    <row r="124" spans="1:22" x14ac:dyDescent="0.25">
      <c r="A124" s="76" t="s">
        <v>286</v>
      </c>
      <c r="B124" s="77" t="s">
        <v>170</v>
      </c>
      <c r="C124" s="77" t="s">
        <v>1821</v>
      </c>
      <c r="D124" s="76" t="s">
        <v>1981</v>
      </c>
      <c r="E124" s="76" t="s">
        <v>1982</v>
      </c>
      <c r="F124" s="163" t="s">
        <v>1983</v>
      </c>
      <c r="G124" s="163"/>
      <c r="H124" s="163"/>
      <c r="I124" s="163"/>
      <c r="J124" s="163"/>
      <c r="K124" s="163"/>
      <c r="L124" s="163"/>
      <c r="M124" s="163"/>
      <c r="N124" s="163"/>
      <c r="O124" s="163"/>
      <c r="P124" s="163"/>
      <c r="Q124" s="163"/>
      <c r="R124" s="163"/>
      <c r="S124" s="163"/>
      <c r="T124" s="163"/>
      <c r="U124" s="163"/>
      <c r="V124" s="19"/>
    </row>
    <row r="125" spans="1:22" ht="30" customHeight="1" x14ac:dyDescent="0.25">
      <c r="A125" s="76" t="s">
        <v>1267</v>
      </c>
      <c r="B125" s="77" t="s">
        <v>202</v>
      </c>
      <c r="C125" s="77" t="s">
        <v>1820</v>
      </c>
      <c r="D125" s="76" t="s">
        <v>1984</v>
      </c>
      <c r="E125" s="76" t="s">
        <v>1985</v>
      </c>
      <c r="F125" s="159" t="s">
        <v>1986</v>
      </c>
      <c r="G125" s="159"/>
      <c r="H125" s="159"/>
      <c r="I125" s="159"/>
      <c r="J125" s="159"/>
      <c r="K125" s="159"/>
      <c r="L125" s="159"/>
      <c r="M125" s="159"/>
      <c r="N125" s="159"/>
      <c r="O125" s="159"/>
      <c r="P125" s="159"/>
      <c r="Q125" s="159"/>
      <c r="R125" s="159"/>
      <c r="S125" s="159"/>
      <c r="T125" s="159"/>
      <c r="U125" s="159"/>
      <c r="V125" s="19"/>
    </row>
    <row r="126" spans="1:22" ht="30" customHeight="1" x14ac:dyDescent="0.25">
      <c r="A126" s="76" t="s">
        <v>1461</v>
      </c>
      <c r="B126" s="77" t="s">
        <v>170</v>
      </c>
      <c r="C126" s="77" t="s">
        <v>1822</v>
      </c>
      <c r="D126" s="76" t="s">
        <v>1988</v>
      </c>
      <c r="E126" s="94" t="s">
        <v>1989</v>
      </c>
      <c r="F126" s="159" t="s">
        <v>1990</v>
      </c>
      <c r="G126" s="159"/>
      <c r="H126" s="159"/>
      <c r="I126" s="159"/>
      <c r="J126" s="159"/>
      <c r="K126" s="159"/>
      <c r="L126" s="159"/>
      <c r="M126" s="159"/>
      <c r="N126" s="159"/>
      <c r="O126" s="159"/>
      <c r="P126" s="159"/>
      <c r="Q126" s="159"/>
      <c r="R126" s="159"/>
      <c r="S126" s="159"/>
      <c r="T126" s="159"/>
      <c r="U126" s="159"/>
      <c r="V126" s="19"/>
    </row>
    <row r="127" spans="1:22" ht="30" customHeight="1" x14ac:dyDescent="0.25">
      <c r="A127" s="76" t="s">
        <v>1643</v>
      </c>
      <c r="B127" s="77" t="s">
        <v>170</v>
      </c>
      <c r="C127" s="77" t="s">
        <v>1821</v>
      </c>
      <c r="D127" s="76" t="s">
        <v>1991</v>
      </c>
      <c r="E127" s="76" t="s">
        <v>1992</v>
      </c>
      <c r="F127" s="159" t="s">
        <v>1993</v>
      </c>
      <c r="G127" s="159"/>
      <c r="H127" s="159"/>
      <c r="I127" s="159"/>
      <c r="J127" s="159"/>
      <c r="K127" s="159"/>
      <c r="L127" s="159"/>
      <c r="M127" s="159"/>
      <c r="N127" s="159"/>
      <c r="O127" s="159"/>
      <c r="P127" s="159"/>
      <c r="Q127" s="159"/>
      <c r="R127" s="159"/>
      <c r="S127" s="159"/>
      <c r="T127" s="159"/>
      <c r="U127" s="159"/>
      <c r="V127" s="19"/>
    </row>
    <row r="128" spans="1:22" x14ac:dyDescent="0.25">
      <c r="A128" s="76" t="s">
        <v>1623</v>
      </c>
      <c r="B128" s="77" t="s">
        <v>202</v>
      </c>
      <c r="C128" s="77" t="s">
        <v>1820</v>
      </c>
      <c r="D128" s="76" t="s">
        <v>1994</v>
      </c>
      <c r="E128" s="76" t="s">
        <v>1995</v>
      </c>
      <c r="F128" s="163" t="s">
        <v>1996</v>
      </c>
      <c r="G128" s="163"/>
      <c r="H128" s="163"/>
      <c r="I128" s="163"/>
      <c r="J128" s="163"/>
      <c r="K128" s="163"/>
      <c r="L128" s="163"/>
      <c r="M128" s="163"/>
      <c r="N128" s="163"/>
      <c r="O128" s="163"/>
      <c r="P128" s="163"/>
      <c r="Q128" s="163"/>
      <c r="R128" s="163"/>
      <c r="S128" s="163"/>
      <c r="T128" s="163"/>
      <c r="U128" s="163"/>
      <c r="V128" s="19"/>
    </row>
    <row r="129" spans="1:22" ht="30" customHeight="1" x14ac:dyDescent="0.25">
      <c r="A129" s="76" t="s">
        <v>298</v>
      </c>
      <c r="B129" s="77" t="s">
        <v>202</v>
      </c>
      <c r="C129" s="77" t="s">
        <v>1821</v>
      </c>
      <c r="D129" s="76" t="s">
        <v>1998</v>
      </c>
      <c r="E129" s="76" t="s">
        <v>1999</v>
      </c>
      <c r="F129" s="159" t="s">
        <v>2000</v>
      </c>
      <c r="G129" s="159"/>
      <c r="H129" s="159"/>
      <c r="I129" s="159"/>
      <c r="J129" s="159"/>
      <c r="K129" s="159"/>
      <c r="L129" s="159"/>
      <c r="M129" s="159"/>
      <c r="N129" s="159"/>
      <c r="O129" s="159"/>
      <c r="P129" s="159"/>
      <c r="Q129" s="159"/>
      <c r="R129" s="159"/>
      <c r="S129" s="159"/>
      <c r="T129" s="159"/>
      <c r="U129" s="159"/>
      <c r="V129" s="19"/>
    </row>
    <row r="130" spans="1:22" x14ac:dyDescent="0.25">
      <c r="A130" s="76" t="s">
        <v>62</v>
      </c>
      <c r="B130" s="77" t="s">
        <v>202</v>
      </c>
      <c r="C130" s="77" t="s">
        <v>1820</v>
      </c>
      <c r="D130" s="76" t="s">
        <v>2002</v>
      </c>
      <c r="E130" s="76" t="s">
        <v>2003</v>
      </c>
      <c r="F130" s="164" t="s">
        <v>2004</v>
      </c>
      <c r="G130" s="164"/>
      <c r="H130" s="164"/>
      <c r="I130" s="164"/>
      <c r="J130" s="164"/>
      <c r="K130" s="164"/>
      <c r="L130" s="164"/>
      <c r="M130" s="164"/>
      <c r="N130" s="164"/>
      <c r="O130" s="164"/>
      <c r="P130" s="164"/>
      <c r="Q130" s="164"/>
      <c r="R130" s="164"/>
      <c r="S130" s="164"/>
      <c r="T130" s="164"/>
      <c r="U130" s="164"/>
      <c r="V130" s="19"/>
    </row>
    <row r="131" spans="1:22" x14ac:dyDescent="0.25">
      <c r="A131" s="76" t="s">
        <v>501</v>
      </c>
      <c r="B131" s="77" t="s">
        <v>202</v>
      </c>
      <c r="C131" s="77" t="s">
        <v>1821</v>
      </c>
      <c r="D131" s="76" t="s">
        <v>2005</v>
      </c>
      <c r="E131" s="76" t="s">
        <v>2006</v>
      </c>
      <c r="F131" s="164" t="s">
        <v>2007</v>
      </c>
      <c r="G131" s="164"/>
      <c r="H131" s="164"/>
      <c r="I131" s="164"/>
      <c r="J131" s="164"/>
      <c r="K131" s="164"/>
      <c r="L131" s="164"/>
      <c r="M131" s="164"/>
      <c r="N131" s="164"/>
      <c r="O131" s="164"/>
      <c r="P131" s="164"/>
      <c r="Q131" s="164"/>
      <c r="R131" s="164"/>
      <c r="S131" s="164"/>
      <c r="T131" s="164"/>
      <c r="U131" s="164"/>
      <c r="V131" s="19"/>
    </row>
    <row r="132" spans="1:22" ht="30" customHeight="1" x14ac:dyDescent="0.25">
      <c r="A132" s="76" t="s">
        <v>68</v>
      </c>
      <c r="B132" s="77" t="s">
        <v>202</v>
      </c>
      <c r="C132" s="77" t="s">
        <v>1820</v>
      </c>
      <c r="D132" s="76" t="s">
        <v>2010</v>
      </c>
      <c r="E132" s="76" t="s">
        <v>2011</v>
      </c>
      <c r="F132" s="159" t="s">
        <v>2012</v>
      </c>
      <c r="G132" s="159"/>
      <c r="H132" s="159"/>
      <c r="I132" s="159"/>
      <c r="J132" s="159"/>
      <c r="K132" s="159"/>
      <c r="L132" s="159"/>
      <c r="M132" s="159"/>
      <c r="N132" s="159"/>
      <c r="O132" s="159"/>
      <c r="P132" s="159"/>
      <c r="Q132" s="159"/>
      <c r="R132" s="159"/>
      <c r="S132" s="159"/>
      <c r="T132" s="159"/>
      <c r="U132" s="159"/>
      <c r="V132" s="19"/>
    </row>
    <row r="133" spans="1:22" ht="30" customHeight="1" x14ac:dyDescent="0.25">
      <c r="A133" s="76" t="s">
        <v>54</v>
      </c>
      <c r="B133" s="77" t="s">
        <v>202</v>
      </c>
      <c r="C133" s="77" t="s">
        <v>1820</v>
      </c>
      <c r="D133" s="76" t="s">
        <v>2014</v>
      </c>
      <c r="E133" s="76" t="s">
        <v>2015</v>
      </c>
      <c r="F133" s="159" t="s">
        <v>2016</v>
      </c>
      <c r="G133" s="159"/>
      <c r="H133" s="159"/>
      <c r="I133" s="159"/>
      <c r="J133" s="159"/>
      <c r="K133" s="159"/>
      <c r="L133" s="159"/>
      <c r="M133" s="159"/>
      <c r="N133" s="159"/>
      <c r="O133" s="159"/>
      <c r="P133" s="159"/>
      <c r="Q133" s="159"/>
      <c r="R133" s="159"/>
      <c r="S133" s="159"/>
      <c r="T133" s="159"/>
      <c r="U133" s="159"/>
      <c r="V133" s="19"/>
    </row>
    <row r="134" spans="1:22" ht="30" customHeight="1" x14ac:dyDescent="0.25">
      <c r="A134" s="76" t="s">
        <v>1826</v>
      </c>
      <c r="B134" s="77" t="s">
        <v>202</v>
      </c>
      <c r="C134" s="77" t="s">
        <v>1821</v>
      </c>
      <c r="D134" s="76" t="s">
        <v>2018</v>
      </c>
      <c r="E134" s="76" t="s">
        <v>2019</v>
      </c>
      <c r="F134" s="159" t="s">
        <v>2020</v>
      </c>
      <c r="G134" s="159"/>
      <c r="H134" s="159"/>
      <c r="I134" s="159"/>
      <c r="J134" s="159"/>
      <c r="K134" s="159"/>
      <c r="L134" s="159"/>
      <c r="M134" s="159"/>
      <c r="N134" s="159"/>
      <c r="O134" s="159"/>
      <c r="P134" s="159"/>
      <c r="Q134" s="159"/>
      <c r="R134" s="159"/>
      <c r="S134" s="159"/>
      <c r="T134" s="159"/>
      <c r="U134" s="159"/>
      <c r="V134" s="19"/>
    </row>
    <row r="135" spans="1:22" ht="30" customHeight="1" x14ac:dyDescent="0.25">
      <c r="A135" s="76" t="s">
        <v>1332</v>
      </c>
      <c r="B135" s="77" t="s">
        <v>202</v>
      </c>
      <c r="C135" s="77" t="s">
        <v>1821</v>
      </c>
      <c r="D135" s="76" t="s">
        <v>2022</v>
      </c>
      <c r="E135" s="76" t="s">
        <v>2023</v>
      </c>
      <c r="F135" s="159" t="s">
        <v>2024</v>
      </c>
      <c r="G135" s="159"/>
      <c r="H135" s="159"/>
      <c r="I135" s="159"/>
      <c r="J135" s="159"/>
      <c r="K135" s="159"/>
      <c r="L135" s="159"/>
      <c r="M135" s="159"/>
      <c r="N135" s="159"/>
      <c r="O135" s="159"/>
      <c r="P135" s="159"/>
      <c r="Q135" s="159"/>
      <c r="R135" s="159"/>
      <c r="S135" s="159"/>
      <c r="T135" s="159"/>
      <c r="U135" s="159"/>
      <c r="V135" s="19"/>
    </row>
    <row r="136" spans="1:22" x14ac:dyDescent="0.25">
      <c r="A136" s="76" t="s">
        <v>294</v>
      </c>
      <c r="B136" s="77" t="s">
        <v>202</v>
      </c>
      <c r="C136" s="77" t="s">
        <v>1821</v>
      </c>
      <c r="D136" s="76" t="s">
        <v>2028</v>
      </c>
      <c r="E136" s="76" t="s">
        <v>2029</v>
      </c>
      <c r="F136" s="163" t="s">
        <v>2030</v>
      </c>
      <c r="G136" s="163"/>
      <c r="H136" s="163"/>
      <c r="I136" s="163"/>
      <c r="J136" s="163"/>
      <c r="K136" s="163"/>
      <c r="L136" s="163"/>
      <c r="M136" s="163"/>
      <c r="N136" s="163"/>
      <c r="O136" s="163"/>
      <c r="P136" s="163"/>
      <c r="Q136" s="163"/>
      <c r="R136" s="163"/>
      <c r="S136" s="163"/>
      <c r="T136" s="163"/>
      <c r="U136" s="163"/>
      <c r="V136" s="19"/>
    </row>
    <row r="137" spans="1:22" x14ac:dyDescent="0.25">
      <c r="A137" s="76" t="s">
        <v>679</v>
      </c>
      <c r="B137" s="77" t="s">
        <v>170</v>
      </c>
      <c r="C137" s="95" t="s">
        <v>1822</v>
      </c>
      <c r="D137" s="94" t="s">
        <v>2031</v>
      </c>
      <c r="E137" s="94" t="s">
        <v>1039</v>
      </c>
      <c r="F137" s="163" t="s">
        <v>2032</v>
      </c>
      <c r="G137" s="163"/>
      <c r="H137" s="163"/>
      <c r="I137" s="163"/>
      <c r="J137" s="163"/>
      <c r="K137" s="163"/>
      <c r="L137" s="163"/>
      <c r="M137" s="163"/>
      <c r="N137" s="163"/>
      <c r="O137" s="163"/>
      <c r="P137" s="163"/>
      <c r="Q137" s="163"/>
      <c r="R137" s="163"/>
      <c r="S137" s="163"/>
      <c r="T137" s="163"/>
      <c r="U137" s="163"/>
      <c r="V137" s="19"/>
    </row>
    <row r="138" spans="1:22" ht="30" customHeight="1" x14ac:dyDescent="0.25">
      <c r="A138" s="76" t="s">
        <v>288</v>
      </c>
      <c r="B138" s="77" t="s">
        <v>202</v>
      </c>
      <c r="C138" s="77" t="s">
        <v>1821</v>
      </c>
      <c r="D138" s="76" t="s">
        <v>2034</v>
      </c>
      <c r="E138" s="76" t="s">
        <v>2035</v>
      </c>
      <c r="F138" s="159" t="s">
        <v>2036</v>
      </c>
      <c r="G138" s="159"/>
      <c r="H138" s="159"/>
      <c r="I138" s="159"/>
      <c r="J138" s="159"/>
      <c r="K138" s="159"/>
      <c r="L138" s="159"/>
      <c r="M138" s="159"/>
      <c r="N138" s="159"/>
      <c r="O138" s="159"/>
      <c r="P138" s="159"/>
      <c r="Q138" s="159"/>
      <c r="R138" s="159"/>
      <c r="S138" s="159"/>
      <c r="T138" s="159"/>
      <c r="U138" s="159"/>
      <c r="V138" s="19"/>
    </row>
    <row r="139" spans="1:22" ht="30" customHeight="1" x14ac:dyDescent="0.25">
      <c r="A139" s="76" t="s">
        <v>287</v>
      </c>
      <c r="B139" s="77" t="s">
        <v>202</v>
      </c>
      <c r="C139" s="77" t="s">
        <v>1820</v>
      </c>
      <c r="D139" s="76" t="s">
        <v>2038</v>
      </c>
      <c r="E139" s="76" t="s">
        <v>2039</v>
      </c>
      <c r="F139" s="159" t="s">
        <v>2040</v>
      </c>
      <c r="G139" s="159"/>
      <c r="H139" s="159"/>
      <c r="I139" s="159"/>
      <c r="J139" s="159"/>
      <c r="K139" s="159"/>
      <c r="L139" s="159"/>
      <c r="M139" s="159"/>
      <c r="N139" s="159"/>
      <c r="O139" s="159"/>
      <c r="P139" s="159"/>
      <c r="Q139" s="159"/>
      <c r="R139" s="159"/>
      <c r="S139" s="159"/>
      <c r="T139" s="159"/>
      <c r="U139" s="159"/>
      <c r="V139" s="19"/>
    </row>
    <row r="140" spans="1:22" ht="30" customHeight="1" x14ac:dyDescent="0.25">
      <c r="A140" s="76" t="s">
        <v>833</v>
      </c>
      <c r="B140" s="77" t="s">
        <v>202</v>
      </c>
      <c r="C140" s="77" t="s">
        <v>1821</v>
      </c>
      <c r="D140" s="76" t="s">
        <v>2041</v>
      </c>
      <c r="E140" s="76" t="s">
        <v>2042</v>
      </c>
      <c r="F140" s="159" t="s">
        <v>2043</v>
      </c>
      <c r="G140" s="159"/>
      <c r="H140" s="159"/>
      <c r="I140" s="159"/>
      <c r="J140" s="159"/>
      <c r="K140" s="159"/>
      <c r="L140" s="159"/>
      <c r="M140" s="159"/>
      <c r="N140" s="159"/>
      <c r="O140" s="159"/>
      <c r="P140" s="159"/>
      <c r="Q140" s="159"/>
      <c r="R140" s="159"/>
      <c r="S140" s="159"/>
      <c r="T140" s="159"/>
      <c r="U140" s="159"/>
      <c r="V140" s="19"/>
    </row>
    <row r="141" spans="1:22" ht="30" customHeight="1" x14ac:dyDescent="0.25">
      <c r="A141" s="76" t="s">
        <v>301</v>
      </c>
      <c r="B141" s="77" t="s">
        <v>170</v>
      </c>
      <c r="C141" s="95" t="s">
        <v>1822</v>
      </c>
      <c r="D141" s="94" t="s">
        <v>2045</v>
      </c>
      <c r="E141" s="94" t="s">
        <v>1039</v>
      </c>
      <c r="F141" s="159" t="s">
        <v>2046</v>
      </c>
      <c r="G141" s="159"/>
      <c r="H141" s="159"/>
      <c r="I141" s="159"/>
      <c r="J141" s="159"/>
      <c r="K141" s="159"/>
      <c r="L141" s="159"/>
      <c r="M141" s="159"/>
      <c r="N141" s="159"/>
      <c r="O141" s="159"/>
      <c r="P141" s="159"/>
      <c r="Q141" s="159"/>
      <c r="R141" s="159"/>
      <c r="S141" s="159"/>
      <c r="T141" s="159"/>
      <c r="U141" s="159"/>
      <c r="V141" s="19"/>
    </row>
    <row r="142" spans="1:22" ht="30" customHeight="1" x14ac:dyDescent="0.25">
      <c r="A142" s="76" t="s">
        <v>297</v>
      </c>
      <c r="B142" s="77" t="s">
        <v>202</v>
      </c>
      <c r="C142" s="77" t="s">
        <v>1821</v>
      </c>
      <c r="D142" s="76" t="s">
        <v>2047</v>
      </c>
      <c r="E142" s="76" t="s">
        <v>2048</v>
      </c>
      <c r="F142" s="159" t="s">
        <v>2049</v>
      </c>
      <c r="G142" s="159"/>
      <c r="H142" s="159"/>
      <c r="I142" s="159"/>
      <c r="J142" s="159"/>
      <c r="K142" s="159"/>
      <c r="L142" s="159"/>
      <c r="M142" s="159"/>
      <c r="N142" s="159"/>
      <c r="O142" s="159"/>
      <c r="P142" s="159"/>
      <c r="Q142" s="159"/>
      <c r="R142" s="159"/>
      <c r="S142" s="159"/>
      <c r="T142" s="159"/>
      <c r="U142" s="159"/>
      <c r="V142" s="19"/>
    </row>
    <row r="143" spans="1:22" ht="30" customHeight="1" x14ac:dyDescent="0.25">
      <c r="A143" s="76" t="s">
        <v>509</v>
      </c>
      <c r="B143" s="77" t="s">
        <v>170</v>
      </c>
      <c r="C143" s="77" t="s">
        <v>1821</v>
      </c>
      <c r="D143" s="76" t="s">
        <v>2051</v>
      </c>
      <c r="E143" s="76" t="s">
        <v>2027</v>
      </c>
      <c r="F143" s="159" t="s">
        <v>2052</v>
      </c>
      <c r="G143" s="159"/>
      <c r="H143" s="159"/>
      <c r="I143" s="159"/>
      <c r="J143" s="159"/>
      <c r="K143" s="159"/>
      <c r="L143" s="159"/>
      <c r="M143" s="159"/>
      <c r="N143" s="159"/>
      <c r="O143" s="159"/>
      <c r="P143" s="159"/>
      <c r="Q143" s="159"/>
      <c r="R143" s="159"/>
      <c r="S143" s="159"/>
      <c r="T143" s="159"/>
      <c r="U143" s="159"/>
      <c r="V143" s="19"/>
    </row>
    <row r="144" spans="1:22" ht="30" customHeight="1" x14ac:dyDescent="0.25">
      <c r="A144" s="76" t="s">
        <v>332</v>
      </c>
      <c r="B144" s="77" t="s">
        <v>170</v>
      </c>
      <c r="C144" s="77" t="s">
        <v>1821</v>
      </c>
      <c r="D144" s="76" t="s">
        <v>2053</v>
      </c>
      <c r="E144" s="76" t="s">
        <v>2054</v>
      </c>
      <c r="F144" s="159" t="s">
        <v>2055</v>
      </c>
      <c r="G144" s="159"/>
      <c r="H144" s="159"/>
      <c r="I144" s="159"/>
      <c r="J144" s="159"/>
      <c r="K144" s="159"/>
      <c r="L144" s="159"/>
      <c r="M144" s="159"/>
      <c r="N144" s="159"/>
      <c r="O144" s="159"/>
      <c r="P144" s="159"/>
      <c r="Q144" s="159"/>
      <c r="R144" s="159"/>
      <c r="S144" s="159"/>
      <c r="T144" s="159"/>
      <c r="U144" s="159"/>
      <c r="V144" s="19"/>
    </row>
    <row r="145" spans="1:22" x14ac:dyDescent="0.25">
      <c r="A145" s="76" t="s">
        <v>836</v>
      </c>
      <c r="B145" s="77" t="s">
        <v>170</v>
      </c>
      <c r="C145" s="77" t="s">
        <v>1821</v>
      </c>
      <c r="D145" s="76" t="s">
        <v>2059</v>
      </c>
      <c r="E145" s="76" t="s">
        <v>2060</v>
      </c>
      <c r="F145" s="163" t="s">
        <v>2058</v>
      </c>
      <c r="G145" s="163"/>
      <c r="H145" s="163"/>
      <c r="I145" s="163"/>
      <c r="J145" s="163"/>
      <c r="K145" s="163"/>
      <c r="L145" s="163"/>
      <c r="M145" s="163"/>
      <c r="N145" s="163"/>
      <c r="O145" s="163"/>
      <c r="P145" s="163"/>
      <c r="Q145" s="163"/>
      <c r="R145" s="163"/>
      <c r="S145" s="163"/>
      <c r="T145" s="163"/>
      <c r="U145" s="163"/>
      <c r="V145" s="19"/>
    </row>
    <row r="146" spans="1:22" x14ac:dyDescent="0.25">
      <c r="A146" s="76" t="s">
        <v>347</v>
      </c>
      <c r="B146" s="77" t="s">
        <v>170</v>
      </c>
      <c r="C146" s="95" t="s">
        <v>1822</v>
      </c>
      <c r="D146" s="94" t="s">
        <v>2062</v>
      </c>
      <c r="E146" s="94" t="s">
        <v>1039</v>
      </c>
      <c r="F146" s="163" t="s">
        <v>2063</v>
      </c>
      <c r="G146" s="163"/>
      <c r="H146" s="163"/>
      <c r="I146" s="163"/>
      <c r="J146" s="163"/>
      <c r="K146" s="163"/>
      <c r="L146" s="163"/>
      <c r="M146" s="163"/>
      <c r="N146" s="163"/>
      <c r="O146" s="163"/>
      <c r="P146" s="163"/>
      <c r="Q146" s="163"/>
      <c r="R146" s="163"/>
      <c r="S146" s="163"/>
      <c r="T146" s="163"/>
      <c r="U146" s="163"/>
      <c r="V146" s="19"/>
    </row>
    <row r="147" spans="1:22" ht="30" customHeight="1" x14ac:dyDescent="0.25">
      <c r="A147" s="76" t="s">
        <v>685</v>
      </c>
      <c r="B147" s="77" t="s">
        <v>170</v>
      </c>
      <c r="C147" s="77" t="s">
        <v>1821</v>
      </c>
      <c r="D147" s="76" t="s">
        <v>2064</v>
      </c>
      <c r="E147" s="76" t="s">
        <v>2065</v>
      </c>
      <c r="F147" s="159" t="s">
        <v>2066</v>
      </c>
      <c r="G147" s="159"/>
      <c r="H147" s="159"/>
      <c r="I147" s="159"/>
      <c r="J147" s="159"/>
      <c r="K147" s="159"/>
      <c r="L147" s="159"/>
      <c r="M147" s="159"/>
      <c r="N147" s="159"/>
      <c r="O147" s="159"/>
      <c r="P147" s="159"/>
      <c r="Q147" s="159"/>
      <c r="R147" s="159"/>
      <c r="S147" s="159"/>
      <c r="T147" s="159"/>
      <c r="U147" s="159"/>
      <c r="V147" s="19"/>
    </row>
    <row r="148" spans="1:22" x14ac:dyDescent="0.25">
      <c r="A148" s="76" t="s">
        <v>1333</v>
      </c>
      <c r="B148" s="77" t="s">
        <v>202</v>
      </c>
      <c r="C148" s="77" t="s">
        <v>1820</v>
      </c>
      <c r="D148" s="76" t="s">
        <v>2068</v>
      </c>
      <c r="E148" s="76" t="s">
        <v>2073</v>
      </c>
      <c r="F148" s="163" t="s">
        <v>2069</v>
      </c>
      <c r="G148" s="163"/>
      <c r="H148" s="163"/>
      <c r="I148" s="163"/>
      <c r="J148" s="163"/>
      <c r="K148" s="163"/>
      <c r="L148" s="163"/>
      <c r="M148" s="163"/>
      <c r="N148" s="163"/>
      <c r="O148" s="163"/>
      <c r="P148" s="163"/>
      <c r="Q148" s="163"/>
      <c r="R148" s="163"/>
      <c r="S148" s="163"/>
      <c r="T148" s="163"/>
      <c r="U148" s="163"/>
      <c r="V148" s="19"/>
    </row>
    <row r="149" spans="1:22" ht="30" customHeight="1" x14ac:dyDescent="0.25">
      <c r="A149" s="76" t="s">
        <v>682</v>
      </c>
      <c r="B149" s="77" t="s">
        <v>170</v>
      </c>
      <c r="C149" s="77" t="s">
        <v>1821</v>
      </c>
      <c r="D149" s="76" t="s">
        <v>2071</v>
      </c>
      <c r="E149" s="76" t="s">
        <v>2072</v>
      </c>
      <c r="F149" s="159" t="s">
        <v>2074</v>
      </c>
      <c r="G149" s="159"/>
      <c r="H149" s="159"/>
      <c r="I149" s="159"/>
      <c r="J149" s="159"/>
      <c r="K149" s="159"/>
      <c r="L149" s="159"/>
      <c r="M149" s="159"/>
      <c r="N149" s="159"/>
      <c r="O149" s="159"/>
      <c r="P149" s="159"/>
      <c r="Q149" s="159"/>
      <c r="R149" s="159"/>
      <c r="S149" s="159"/>
      <c r="T149" s="159"/>
      <c r="U149" s="159"/>
      <c r="V149" s="19"/>
    </row>
    <row r="150" spans="1:22" ht="30" customHeight="1" x14ac:dyDescent="0.25">
      <c r="A150" s="76" t="s">
        <v>303</v>
      </c>
      <c r="B150" s="77" t="s">
        <v>202</v>
      </c>
      <c r="C150" s="77" t="s">
        <v>1820</v>
      </c>
      <c r="D150" s="76" t="s">
        <v>2076</v>
      </c>
      <c r="E150" s="76" t="s">
        <v>2077</v>
      </c>
      <c r="F150" s="159" t="s">
        <v>2078</v>
      </c>
      <c r="G150" s="159"/>
      <c r="H150" s="159"/>
      <c r="I150" s="159"/>
      <c r="J150" s="159"/>
      <c r="K150" s="159"/>
      <c r="L150" s="159"/>
      <c r="M150" s="159"/>
      <c r="N150" s="159"/>
      <c r="O150" s="159"/>
      <c r="P150" s="159"/>
      <c r="Q150" s="159"/>
      <c r="R150" s="159"/>
      <c r="S150" s="159"/>
      <c r="T150" s="159"/>
      <c r="U150" s="159"/>
      <c r="V150" s="19"/>
    </row>
    <row r="151" spans="1:22" ht="30" customHeight="1" x14ac:dyDescent="0.25">
      <c r="A151" s="76" t="s">
        <v>333</v>
      </c>
      <c r="B151" s="77" t="s">
        <v>202</v>
      </c>
      <c r="C151" s="77" t="s">
        <v>1820</v>
      </c>
      <c r="D151" s="76" t="s">
        <v>2080</v>
      </c>
      <c r="E151" s="76" t="s">
        <v>2081</v>
      </c>
      <c r="F151" s="159" t="s">
        <v>2082</v>
      </c>
      <c r="G151" s="159"/>
      <c r="H151" s="159"/>
      <c r="I151" s="159"/>
      <c r="J151" s="159"/>
      <c r="K151" s="159"/>
      <c r="L151" s="159"/>
      <c r="M151" s="159"/>
      <c r="N151" s="159"/>
      <c r="O151" s="159"/>
      <c r="P151" s="159"/>
      <c r="Q151" s="159"/>
      <c r="R151" s="159"/>
      <c r="S151" s="159"/>
      <c r="T151" s="159"/>
      <c r="U151" s="159"/>
      <c r="V151" s="19"/>
    </row>
    <row r="152" spans="1:22" x14ac:dyDescent="0.25">
      <c r="A152" s="76" t="s">
        <v>683</v>
      </c>
      <c r="B152" s="77" t="s">
        <v>170</v>
      </c>
      <c r="C152" s="77" t="s">
        <v>1821</v>
      </c>
      <c r="D152" s="76" t="s">
        <v>2083</v>
      </c>
      <c r="E152" s="76" t="s">
        <v>2084</v>
      </c>
      <c r="F152" s="163" t="s">
        <v>2085</v>
      </c>
      <c r="G152" s="163"/>
      <c r="H152" s="163"/>
      <c r="I152" s="163"/>
      <c r="J152" s="163"/>
      <c r="K152" s="163"/>
      <c r="L152" s="163"/>
      <c r="M152" s="163"/>
      <c r="N152" s="163"/>
      <c r="O152" s="163"/>
      <c r="P152" s="163"/>
      <c r="Q152" s="163"/>
      <c r="R152" s="163"/>
      <c r="S152" s="163"/>
      <c r="T152" s="163"/>
      <c r="U152" s="163"/>
      <c r="V152" s="19"/>
    </row>
    <row r="153" spans="1:22" x14ac:dyDescent="0.25">
      <c r="A153" s="76" t="s">
        <v>290</v>
      </c>
      <c r="B153" s="77" t="s">
        <v>202</v>
      </c>
      <c r="C153" s="77" t="s">
        <v>1820</v>
      </c>
      <c r="D153" s="76" t="s">
        <v>2087</v>
      </c>
      <c r="E153" s="76" t="s">
        <v>2088</v>
      </c>
      <c r="F153" s="163" t="s">
        <v>2089</v>
      </c>
      <c r="G153" s="163"/>
      <c r="H153" s="163"/>
      <c r="I153" s="163"/>
      <c r="J153" s="163"/>
      <c r="K153" s="163"/>
      <c r="L153" s="163"/>
      <c r="M153" s="163"/>
      <c r="N153" s="163"/>
      <c r="O153" s="163"/>
      <c r="P153" s="163"/>
      <c r="Q153" s="163"/>
      <c r="R153" s="163"/>
      <c r="S153" s="163"/>
      <c r="T153" s="163"/>
      <c r="U153" s="163"/>
      <c r="V153" s="19"/>
    </row>
    <row r="154" spans="1:22" x14ac:dyDescent="0.25">
      <c r="A154" s="76" t="s">
        <v>316</v>
      </c>
      <c r="B154" s="77" t="s">
        <v>170</v>
      </c>
      <c r="C154" s="95" t="s">
        <v>1822</v>
      </c>
      <c r="D154" s="94" t="s">
        <v>2090</v>
      </c>
      <c r="E154" s="94" t="s">
        <v>1039</v>
      </c>
      <c r="F154" s="163" t="s">
        <v>2091</v>
      </c>
      <c r="G154" s="163"/>
      <c r="H154" s="163"/>
      <c r="I154" s="163"/>
      <c r="J154" s="163"/>
      <c r="K154" s="163"/>
      <c r="L154" s="163"/>
      <c r="M154" s="163"/>
      <c r="N154" s="163"/>
      <c r="O154" s="163"/>
      <c r="P154" s="163"/>
      <c r="Q154" s="163"/>
      <c r="R154" s="163"/>
      <c r="S154" s="163"/>
      <c r="T154" s="163"/>
      <c r="U154" s="163"/>
      <c r="V154" s="19"/>
    </row>
    <row r="155" spans="1:22" x14ac:dyDescent="0.25">
      <c r="A155" s="76" t="s">
        <v>678</v>
      </c>
      <c r="B155" s="77" t="s">
        <v>170</v>
      </c>
      <c r="C155" s="95" t="s">
        <v>1822</v>
      </c>
      <c r="D155" s="94" t="s">
        <v>2092</v>
      </c>
      <c r="E155" s="94" t="s">
        <v>1039</v>
      </c>
      <c r="F155" s="163" t="s">
        <v>2093</v>
      </c>
      <c r="G155" s="163"/>
      <c r="H155" s="163"/>
      <c r="I155" s="163"/>
      <c r="J155" s="163"/>
      <c r="K155" s="163"/>
      <c r="L155" s="163"/>
      <c r="M155" s="163"/>
      <c r="N155" s="163"/>
      <c r="O155" s="163"/>
      <c r="P155" s="163"/>
      <c r="Q155" s="163"/>
      <c r="R155" s="163"/>
      <c r="S155" s="163"/>
      <c r="T155" s="163"/>
      <c r="U155" s="163"/>
      <c r="V155" s="19"/>
    </row>
    <row r="156" spans="1:22" x14ac:dyDescent="0.25">
      <c r="A156" s="76" t="s">
        <v>337</v>
      </c>
      <c r="B156" s="77" t="s">
        <v>202</v>
      </c>
      <c r="C156" s="77" t="s">
        <v>1820</v>
      </c>
      <c r="D156" s="76" t="s">
        <v>2095</v>
      </c>
      <c r="E156" s="76" t="s">
        <v>2097</v>
      </c>
      <c r="F156" s="163" t="s">
        <v>2096</v>
      </c>
      <c r="G156" s="163"/>
      <c r="H156" s="163"/>
      <c r="I156" s="163"/>
      <c r="J156" s="163"/>
      <c r="K156" s="163"/>
      <c r="L156" s="163"/>
      <c r="M156" s="163"/>
      <c r="N156" s="163"/>
      <c r="O156" s="163"/>
      <c r="P156" s="163"/>
      <c r="Q156" s="163"/>
      <c r="R156" s="163"/>
      <c r="S156" s="163"/>
      <c r="T156" s="163"/>
      <c r="U156" s="163"/>
      <c r="V156" s="19"/>
    </row>
    <row r="157" spans="1:22" x14ac:dyDescent="0.25">
      <c r="A157" s="76" t="s">
        <v>1630</v>
      </c>
      <c r="B157" s="77" t="s">
        <v>202</v>
      </c>
      <c r="C157" s="77" t="s">
        <v>1821</v>
      </c>
      <c r="D157" s="76" t="s">
        <v>2098</v>
      </c>
      <c r="E157" s="76" t="s">
        <v>2099</v>
      </c>
      <c r="F157" s="164" t="s">
        <v>2100</v>
      </c>
      <c r="G157" s="164"/>
      <c r="H157" s="164"/>
      <c r="I157" s="164"/>
      <c r="J157" s="164"/>
      <c r="K157" s="164"/>
      <c r="L157" s="164"/>
      <c r="M157" s="164"/>
      <c r="N157" s="164"/>
      <c r="O157" s="164"/>
      <c r="P157" s="164"/>
      <c r="Q157" s="164"/>
      <c r="R157" s="164"/>
      <c r="S157" s="164"/>
      <c r="T157" s="164"/>
      <c r="U157" s="164"/>
      <c r="V157" s="19"/>
    </row>
    <row r="158" spans="1:22" ht="30" customHeight="1" x14ac:dyDescent="0.25">
      <c r="A158" s="76" t="s">
        <v>1824</v>
      </c>
      <c r="B158" s="77" t="s">
        <v>202</v>
      </c>
      <c r="C158" s="77" t="s">
        <v>1821</v>
      </c>
      <c r="D158" s="76" t="s">
        <v>2102</v>
      </c>
      <c r="E158" s="76" t="s">
        <v>2103</v>
      </c>
      <c r="F158" s="159" t="s">
        <v>2104</v>
      </c>
      <c r="G158" s="159"/>
      <c r="H158" s="159"/>
      <c r="I158" s="159"/>
      <c r="J158" s="159"/>
      <c r="K158" s="159"/>
      <c r="L158" s="159"/>
      <c r="M158" s="159"/>
      <c r="N158" s="159"/>
      <c r="O158" s="159"/>
      <c r="P158" s="159"/>
      <c r="Q158" s="159"/>
      <c r="R158" s="159"/>
      <c r="S158" s="159"/>
      <c r="T158" s="159"/>
      <c r="U158" s="159"/>
      <c r="V158" s="19"/>
    </row>
    <row r="159" spans="1:22" x14ac:dyDescent="0.25">
      <c r="A159" s="76"/>
      <c r="B159" s="77"/>
      <c r="C159" s="77"/>
      <c r="D159" s="76"/>
      <c r="E159" s="76"/>
      <c r="F159" s="164"/>
      <c r="G159" s="164"/>
      <c r="H159" s="164"/>
      <c r="I159" s="164"/>
      <c r="J159" s="164"/>
      <c r="K159" s="164"/>
      <c r="L159" s="164"/>
      <c r="M159" s="164"/>
      <c r="N159" s="164"/>
      <c r="O159" s="164"/>
      <c r="P159" s="164"/>
      <c r="Q159" s="164"/>
      <c r="R159" s="164"/>
      <c r="S159" s="164"/>
      <c r="T159" s="164"/>
      <c r="U159" s="164"/>
      <c r="V159" s="19"/>
    </row>
    <row r="160" spans="1:22" x14ac:dyDescent="0.25">
      <c r="A160" s="76"/>
      <c r="B160" s="77"/>
      <c r="C160" s="77"/>
      <c r="D160" s="76"/>
      <c r="E160" s="76"/>
      <c r="F160" s="164"/>
      <c r="G160" s="164"/>
      <c r="H160" s="164"/>
      <c r="I160" s="164"/>
      <c r="J160" s="164"/>
      <c r="K160" s="164"/>
      <c r="L160" s="164"/>
      <c r="M160" s="164"/>
      <c r="N160" s="164"/>
      <c r="O160" s="164"/>
      <c r="P160" s="164"/>
      <c r="Q160" s="164"/>
      <c r="R160" s="164"/>
      <c r="S160" s="164"/>
      <c r="T160" s="164"/>
      <c r="U160" s="164"/>
      <c r="V160" s="19"/>
    </row>
    <row r="161" spans="1:22" x14ac:dyDescent="0.25">
      <c r="A161" s="76"/>
      <c r="B161" s="77"/>
      <c r="C161" s="77"/>
      <c r="D161" s="76"/>
      <c r="E161" s="76"/>
      <c r="F161" s="164"/>
      <c r="G161" s="164"/>
      <c r="H161" s="164"/>
      <c r="I161" s="164"/>
      <c r="J161" s="164"/>
      <c r="K161" s="164"/>
      <c r="L161" s="164"/>
      <c r="M161" s="164"/>
      <c r="N161" s="164"/>
      <c r="O161" s="164"/>
      <c r="P161" s="164"/>
      <c r="Q161" s="164"/>
      <c r="R161" s="164"/>
      <c r="S161" s="164"/>
      <c r="T161" s="164"/>
      <c r="U161" s="164"/>
      <c r="V161" s="19"/>
    </row>
    <row r="162" spans="1:22" x14ac:dyDescent="0.25">
      <c r="A162" s="76"/>
      <c r="B162" s="77"/>
      <c r="C162" s="77"/>
      <c r="D162" s="76"/>
      <c r="E162" s="76"/>
      <c r="F162" s="164"/>
      <c r="G162" s="164"/>
      <c r="H162" s="164"/>
      <c r="I162" s="164"/>
      <c r="J162" s="164"/>
      <c r="K162" s="164"/>
      <c r="L162" s="164"/>
      <c r="M162" s="164"/>
      <c r="N162" s="164"/>
      <c r="O162" s="164"/>
      <c r="P162" s="164"/>
      <c r="Q162" s="164"/>
      <c r="R162" s="164"/>
      <c r="S162" s="164"/>
      <c r="T162" s="164"/>
      <c r="U162" s="164"/>
      <c r="V162" s="19"/>
    </row>
    <row r="163" spans="1:22" x14ac:dyDescent="0.25">
      <c r="A163" s="76"/>
      <c r="B163" s="77"/>
      <c r="C163" s="77"/>
      <c r="D163" s="76"/>
      <c r="E163" s="76"/>
      <c r="F163" s="164"/>
      <c r="G163" s="164"/>
      <c r="H163" s="164"/>
      <c r="I163" s="164"/>
      <c r="J163" s="164"/>
      <c r="K163" s="164"/>
      <c r="L163" s="164"/>
      <c r="M163" s="164"/>
      <c r="N163" s="164"/>
      <c r="O163" s="164"/>
      <c r="P163" s="164"/>
      <c r="Q163" s="164"/>
      <c r="R163" s="164"/>
      <c r="S163" s="164"/>
      <c r="T163" s="164"/>
      <c r="U163" s="164"/>
      <c r="V163" s="19"/>
    </row>
    <row r="164" spans="1:22" x14ac:dyDescent="0.25">
      <c r="A164" s="76"/>
      <c r="B164" s="77"/>
      <c r="C164" s="77"/>
      <c r="D164" s="76"/>
      <c r="E164" s="76"/>
      <c r="F164" s="164"/>
      <c r="G164" s="164"/>
      <c r="H164" s="164"/>
      <c r="I164" s="164"/>
      <c r="J164" s="164"/>
      <c r="K164" s="164"/>
      <c r="L164" s="164"/>
      <c r="M164" s="164"/>
      <c r="N164" s="164"/>
      <c r="O164" s="164"/>
      <c r="P164" s="164"/>
      <c r="Q164" s="164"/>
      <c r="R164" s="164"/>
      <c r="S164" s="164"/>
      <c r="T164" s="164"/>
      <c r="U164" s="164"/>
      <c r="V164" s="19"/>
    </row>
    <row r="165" spans="1:22" x14ac:dyDescent="0.25">
      <c r="A165" s="76"/>
      <c r="B165" s="77"/>
      <c r="C165" s="77"/>
      <c r="D165" s="76"/>
      <c r="E165" s="76"/>
      <c r="F165" s="164"/>
      <c r="G165" s="164"/>
      <c r="H165" s="164"/>
      <c r="I165" s="164"/>
      <c r="J165" s="164"/>
      <c r="K165" s="164"/>
      <c r="L165" s="164"/>
      <c r="M165" s="164"/>
      <c r="N165" s="164"/>
      <c r="O165" s="164"/>
      <c r="P165" s="164"/>
      <c r="Q165" s="164"/>
      <c r="R165" s="164"/>
      <c r="S165" s="164"/>
      <c r="T165" s="164"/>
      <c r="U165" s="164"/>
      <c r="V165" s="19"/>
    </row>
    <row r="166" spans="1:22" x14ac:dyDescent="0.25">
      <c r="A166" s="76"/>
      <c r="B166" s="77"/>
      <c r="C166" s="77"/>
      <c r="D166" s="76"/>
      <c r="E166" s="76"/>
      <c r="F166" s="164"/>
      <c r="G166" s="164"/>
      <c r="H166" s="164"/>
      <c r="I166" s="164"/>
      <c r="J166" s="164"/>
      <c r="K166" s="164"/>
      <c r="L166" s="164"/>
      <c r="M166" s="164"/>
      <c r="N166" s="164"/>
      <c r="O166" s="164"/>
      <c r="P166" s="164"/>
      <c r="Q166" s="164"/>
      <c r="R166" s="164"/>
      <c r="S166" s="164"/>
      <c r="T166" s="164"/>
      <c r="U166" s="164"/>
      <c r="V166" s="19"/>
    </row>
    <row r="167" spans="1:22" x14ac:dyDescent="0.25">
      <c r="A167" s="76"/>
      <c r="B167" s="77"/>
      <c r="C167" s="77"/>
      <c r="D167" s="76"/>
      <c r="E167" s="76"/>
      <c r="F167" s="164"/>
      <c r="G167" s="164"/>
      <c r="H167" s="164"/>
      <c r="I167" s="164"/>
      <c r="J167" s="164"/>
      <c r="K167" s="164"/>
      <c r="L167" s="164"/>
      <c r="M167" s="164"/>
      <c r="N167" s="164"/>
      <c r="O167" s="164"/>
      <c r="P167" s="164"/>
      <c r="Q167" s="164"/>
      <c r="R167" s="164"/>
      <c r="S167" s="164"/>
      <c r="T167" s="164"/>
      <c r="U167" s="164"/>
      <c r="V167" s="19"/>
    </row>
    <row r="168" spans="1:22" x14ac:dyDescent="0.25">
      <c r="A168" s="76"/>
      <c r="B168" s="77"/>
      <c r="C168" s="77"/>
      <c r="D168" s="76"/>
      <c r="E168" s="76"/>
      <c r="F168" s="164"/>
      <c r="G168" s="164"/>
      <c r="H168" s="164"/>
      <c r="I168" s="164"/>
      <c r="J168" s="164"/>
      <c r="K168" s="164"/>
      <c r="L168" s="164"/>
      <c r="M168" s="164"/>
      <c r="N168" s="164"/>
      <c r="O168" s="164"/>
      <c r="P168" s="164"/>
      <c r="Q168" s="164"/>
      <c r="R168" s="164"/>
      <c r="S168" s="164"/>
      <c r="T168" s="164"/>
      <c r="U168" s="164"/>
      <c r="V168" s="19"/>
    </row>
    <row r="169" spans="1:22" x14ac:dyDescent="0.25">
      <c r="A169" s="76"/>
      <c r="B169" s="77"/>
      <c r="C169" s="77"/>
      <c r="D169" s="76"/>
      <c r="E169" s="76"/>
      <c r="F169" s="164"/>
      <c r="G169" s="164"/>
      <c r="H169" s="164"/>
      <c r="I169" s="164"/>
      <c r="J169" s="164"/>
      <c r="K169" s="164"/>
      <c r="L169" s="164"/>
      <c r="M169" s="164"/>
      <c r="N169" s="164"/>
      <c r="O169" s="164"/>
      <c r="P169" s="164"/>
      <c r="Q169" s="164"/>
      <c r="R169" s="164"/>
      <c r="S169" s="164"/>
      <c r="T169" s="164"/>
      <c r="U169" s="164"/>
      <c r="V169" s="19"/>
    </row>
    <row r="170" spans="1:22" x14ac:dyDescent="0.25">
      <c r="A170" s="76"/>
      <c r="B170" s="77"/>
      <c r="C170" s="77"/>
      <c r="D170" s="76"/>
      <c r="E170" s="76"/>
      <c r="F170" s="164"/>
      <c r="G170" s="164"/>
      <c r="H170" s="164"/>
      <c r="I170" s="164"/>
      <c r="J170" s="164"/>
      <c r="K170" s="164"/>
      <c r="L170" s="164"/>
      <c r="M170" s="164"/>
      <c r="N170" s="164"/>
      <c r="O170" s="164"/>
      <c r="P170" s="164"/>
      <c r="Q170" s="164"/>
      <c r="R170" s="164"/>
      <c r="S170" s="164"/>
      <c r="T170" s="164"/>
      <c r="U170" s="164"/>
      <c r="V170" s="19"/>
    </row>
    <row r="171" spans="1:22" x14ac:dyDescent="0.25">
      <c r="A171" s="76"/>
      <c r="B171" s="77"/>
      <c r="C171" s="77"/>
      <c r="D171" s="76"/>
      <c r="E171" s="76"/>
      <c r="F171" s="164"/>
      <c r="G171" s="164"/>
      <c r="H171" s="164"/>
      <c r="I171" s="164"/>
      <c r="J171" s="164"/>
      <c r="K171" s="164"/>
      <c r="L171" s="164"/>
      <c r="M171" s="164"/>
      <c r="N171" s="164"/>
      <c r="O171" s="164"/>
      <c r="P171" s="164"/>
      <c r="Q171" s="164"/>
      <c r="R171" s="164"/>
      <c r="S171" s="164"/>
      <c r="T171" s="164"/>
      <c r="U171" s="164"/>
      <c r="V171" s="19"/>
    </row>
    <row r="172" spans="1:22" x14ac:dyDescent="0.25">
      <c r="A172" s="76"/>
      <c r="B172" s="77"/>
      <c r="C172" s="77"/>
      <c r="D172" s="76"/>
      <c r="E172" s="76"/>
      <c r="F172" s="164"/>
      <c r="G172" s="164"/>
      <c r="H172" s="164"/>
      <c r="I172" s="164"/>
      <c r="J172" s="164"/>
      <c r="K172" s="164"/>
      <c r="L172" s="164"/>
      <c r="M172" s="164"/>
      <c r="N172" s="164"/>
      <c r="O172" s="164"/>
      <c r="P172" s="164"/>
      <c r="Q172" s="164"/>
      <c r="R172" s="164"/>
      <c r="S172" s="164"/>
      <c r="T172" s="164"/>
      <c r="U172" s="164"/>
      <c r="V172" s="19"/>
    </row>
    <row r="173" spans="1:22" x14ac:dyDescent="0.25">
      <c r="A173" s="76"/>
      <c r="B173" s="77"/>
      <c r="C173" s="77"/>
      <c r="D173" s="76"/>
      <c r="E173" s="76"/>
      <c r="F173" s="164"/>
      <c r="G173" s="164"/>
      <c r="H173" s="164"/>
      <c r="I173" s="164"/>
      <c r="J173" s="164"/>
      <c r="K173" s="164"/>
      <c r="L173" s="164"/>
      <c r="M173" s="164"/>
      <c r="N173" s="164"/>
      <c r="O173" s="164"/>
      <c r="P173" s="164"/>
      <c r="Q173" s="164"/>
      <c r="R173" s="164"/>
      <c r="S173" s="164"/>
      <c r="T173" s="164"/>
      <c r="U173" s="164"/>
      <c r="V173" s="19"/>
    </row>
    <row r="174" spans="1:22" x14ac:dyDescent="0.25">
      <c r="A174" s="76"/>
      <c r="B174" s="77"/>
      <c r="C174" s="77"/>
      <c r="D174" s="76"/>
      <c r="E174" s="76"/>
      <c r="F174" s="164"/>
      <c r="G174" s="164"/>
      <c r="H174" s="164"/>
      <c r="I174" s="164"/>
      <c r="J174" s="164"/>
      <c r="K174" s="164"/>
      <c r="L174" s="164"/>
      <c r="M174" s="164"/>
      <c r="N174" s="164"/>
      <c r="O174" s="164"/>
      <c r="P174" s="164"/>
      <c r="Q174" s="164"/>
      <c r="R174" s="164"/>
      <c r="S174" s="164"/>
      <c r="T174" s="164"/>
      <c r="U174" s="164"/>
      <c r="V174" s="19"/>
    </row>
    <row r="175" spans="1:22" x14ac:dyDescent="0.25">
      <c r="A175" s="76"/>
      <c r="B175" s="77"/>
      <c r="C175" s="77"/>
      <c r="D175" s="76"/>
      <c r="E175" s="76"/>
      <c r="F175" s="164"/>
      <c r="G175" s="164"/>
      <c r="H175" s="164"/>
      <c r="I175" s="164"/>
      <c r="J175" s="164"/>
      <c r="K175" s="164"/>
      <c r="L175" s="164"/>
      <c r="M175" s="164"/>
      <c r="N175" s="164"/>
      <c r="O175" s="164"/>
      <c r="P175" s="164"/>
      <c r="Q175" s="164"/>
      <c r="R175" s="164"/>
      <c r="S175" s="164"/>
      <c r="T175" s="164"/>
      <c r="U175" s="164"/>
      <c r="V175" s="19"/>
    </row>
    <row r="176" spans="1:22" x14ac:dyDescent="0.25">
      <c r="A176" s="76"/>
      <c r="B176" s="77"/>
      <c r="C176" s="77"/>
      <c r="D176" s="76"/>
      <c r="E176" s="76"/>
      <c r="F176" s="164"/>
      <c r="G176" s="164"/>
      <c r="H176" s="164"/>
      <c r="I176" s="164"/>
      <c r="J176" s="164"/>
      <c r="K176" s="164"/>
      <c r="L176" s="164"/>
      <c r="M176" s="164"/>
      <c r="N176" s="164"/>
      <c r="O176" s="164"/>
      <c r="P176" s="164"/>
      <c r="Q176" s="164"/>
      <c r="R176" s="164"/>
      <c r="S176" s="164"/>
      <c r="T176" s="164"/>
      <c r="U176" s="164"/>
      <c r="V176" s="19"/>
    </row>
    <row r="177" spans="1:22" x14ac:dyDescent="0.25">
      <c r="A177" s="76"/>
      <c r="B177" s="77"/>
      <c r="C177" s="77"/>
      <c r="D177" s="76"/>
      <c r="E177" s="76"/>
      <c r="F177" s="164"/>
      <c r="G177" s="164"/>
      <c r="H177" s="164"/>
      <c r="I177" s="164"/>
      <c r="J177" s="164"/>
      <c r="K177" s="164"/>
      <c r="L177" s="164"/>
      <c r="M177" s="164"/>
      <c r="N177" s="164"/>
      <c r="O177" s="164"/>
      <c r="P177" s="164"/>
      <c r="Q177" s="164"/>
      <c r="R177" s="164"/>
      <c r="S177" s="164"/>
      <c r="T177" s="164"/>
      <c r="U177" s="164"/>
      <c r="V177" s="19"/>
    </row>
    <row r="178" spans="1:22" x14ac:dyDescent="0.25">
      <c r="A178" s="76"/>
      <c r="B178" s="77"/>
      <c r="C178" s="77"/>
      <c r="D178" s="76"/>
      <c r="E178" s="76"/>
      <c r="F178" s="164"/>
      <c r="G178" s="164"/>
      <c r="H178" s="164"/>
      <c r="I178" s="164"/>
      <c r="J178" s="164"/>
      <c r="K178" s="164"/>
      <c r="L178" s="164"/>
      <c r="M178" s="164"/>
      <c r="N178" s="164"/>
      <c r="O178" s="164"/>
      <c r="P178" s="164"/>
      <c r="Q178" s="164"/>
      <c r="R178" s="164"/>
      <c r="S178" s="164"/>
      <c r="T178" s="164"/>
      <c r="U178" s="164"/>
      <c r="V178" s="19"/>
    </row>
    <row r="179" spans="1:22" x14ac:dyDescent="0.25">
      <c r="A179" s="76"/>
      <c r="B179" s="77"/>
      <c r="C179" s="77"/>
      <c r="D179" s="76"/>
      <c r="E179" s="76"/>
      <c r="F179" s="164"/>
      <c r="G179" s="164"/>
      <c r="H179" s="164"/>
      <c r="I179" s="164"/>
      <c r="J179" s="164"/>
      <c r="K179" s="164"/>
      <c r="L179" s="164"/>
      <c r="M179" s="164"/>
      <c r="N179" s="164"/>
      <c r="O179" s="164"/>
      <c r="P179" s="164"/>
      <c r="Q179" s="164"/>
      <c r="R179" s="164"/>
      <c r="S179" s="164"/>
      <c r="T179" s="164"/>
      <c r="U179" s="164"/>
      <c r="V179" s="19"/>
    </row>
    <row r="180" spans="1:22" x14ac:dyDescent="0.25">
      <c r="A180" s="76"/>
      <c r="B180" s="77"/>
      <c r="C180" s="77"/>
      <c r="D180" s="76"/>
      <c r="E180" s="76"/>
      <c r="F180" s="164"/>
      <c r="G180" s="164"/>
      <c r="H180" s="164"/>
      <c r="I180" s="164"/>
      <c r="J180" s="164"/>
      <c r="K180" s="164"/>
      <c r="L180" s="164"/>
      <c r="M180" s="164"/>
      <c r="N180" s="164"/>
      <c r="O180" s="164"/>
      <c r="P180" s="164"/>
      <c r="Q180" s="164"/>
      <c r="R180" s="164"/>
      <c r="S180" s="164"/>
      <c r="T180" s="164"/>
      <c r="U180" s="164"/>
      <c r="V180" s="19"/>
    </row>
    <row r="181" spans="1:22" x14ac:dyDescent="0.25">
      <c r="A181" s="76"/>
      <c r="B181" s="77"/>
      <c r="C181" s="77"/>
      <c r="D181" s="76"/>
      <c r="E181" s="76"/>
      <c r="F181" s="164"/>
      <c r="G181" s="164"/>
      <c r="H181" s="164"/>
      <c r="I181" s="164"/>
      <c r="J181" s="164"/>
      <c r="K181" s="164"/>
      <c r="L181" s="164"/>
      <c r="M181" s="164"/>
      <c r="N181" s="164"/>
      <c r="O181" s="164"/>
      <c r="P181" s="164"/>
      <c r="Q181" s="164"/>
      <c r="R181" s="164"/>
      <c r="S181" s="164"/>
      <c r="T181" s="164"/>
      <c r="U181" s="164"/>
      <c r="V181" s="19"/>
    </row>
    <row r="182" spans="1:22" x14ac:dyDescent="0.25">
      <c r="A182" s="76"/>
      <c r="B182" s="77"/>
      <c r="C182" s="77"/>
      <c r="D182" s="76"/>
      <c r="E182" s="76"/>
      <c r="F182" s="164"/>
      <c r="G182" s="164"/>
      <c r="H182" s="164"/>
      <c r="I182" s="164"/>
      <c r="J182" s="164"/>
      <c r="K182" s="164"/>
      <c r="L182" s="164"/>
      <c r="M182" s="164"/>
      <c r="N182" s="164"/>
      <c r="O182" s="164"/>
      <c r="P182" s="164"/>
      <c r="Q182" s="164"/>
      <c r="R182" s="164"/>
      <c r="S182" s="164"/>
      <c r="T182" s="164"/>
      <c r="U182" s="164"/>
      <c r="V182" s="19"/>
    </row>
    <row r="183" spans="1:22" x14ac:dyDescent="0.25">
      <c r="A183" s="76"/>
      <c r="B183" s="77"/>
      <c r="C183" s="77"/>
      <c r="D183" s="76"/>
      <c r="E183" s="76"/>
      <c r="F183" s="164"/>
      <c r="G183" s="164"/>
      <c r="H183" s="164"/>
      <c r="I183" s="164"/>
      <c r="J183" s="164"/>
      <c r="K183" s="164"/>
      <c r="L183" s="164"/>
      <c r="M183" s="164"/>
      <c r="N183" s="164"/>
      <c r="O183" s="164"/>
      <c r="P183" s="164"/>
      <c r="Q183" s="164"/>
      <c r="R183" s="164"/>
      <c r="S183" s="164"/>
      <c r="T183" s="164"/>
      <c r="U183" s="164"/>
      <c r="V183" s="19"/>
    </row>
    <row r="184" spans="1:22" x14ac:dyDescent="0.25">
      <c r="A184" s="76"/>
      <c r="B184" s="77"/>
      <c r="C184" s="77"/>
      <c r="D184" s="76"/>
      <c r="E184" s="76"/>
      <c r="F184" s="164"/>
      <c r="G184" s="164"/>
      <c r="H184" s="164"/>
      <c r="I184" s="164"/>
      <c r="J184" s="164"/>
      <c r="K184" s="164"/>
      <c r="L184" s="164"/>
      <c r="M184" s="164"/>
      <c r="N184" s="164"/>
      <c r="O184" s="164"/>
      <c r="P184" s="164"/>
      <c r="Q184" s="164"/>
      <c r="R184" s="164"/>
      <c r="S184" s="164"/>
      <c r="T184" s="164"/>
      <c r="U184" s="164"/>
      <c r="V184" s="19"/>
    </row>
    <row r="185" spans="1:22" x14ac:dyDescent="0.25">
      <c r="A185" s="76"/>
      <c r="B185" s="77"/>
      <c r="C185" s="77"/>
      <c r="D185" s="76"/>
      <c r="E185" s="76"/>
      <c r="F185" s="164"/>
      <c r="G185" s="164"/>
      <c r="H185" s="164"/>
      <c r="I185" s="164"/>
      <c r="J185" s="164"/>
      <c r="K185" s="164"/>
      <c r="L185" s="164"/>
      <c r="M185" s="164"/>
      <c r="N185" s="164"/>
      <c r="O185" s="164"/>
      <c r="P185" s="164"/>
      <c r="Q185" s="164"/>
      <c r="R185" s="164"/>
      <c r="S185" s="164"/>
      <c r="T185" s="164"/>
      <c r="U185" s="164"/>
      <c r="V185" s="19"/>
    </row>
    <row r="186" spans="1:22" x14ac:dyDescent="0.25">
      <c r="A186" s="76"/>
      <c r="B186" s="77"/>
      <c r="C186" s="77"/>
      <c r="D186" s="76"/>
      <c r="E186" s="76"/>
      <c r="F186" s="164"/>
      <c r="G186" s="164"/>
      <c r="H186" s="164"/>
      <c r="I186" s="164"/>
      <c r="J186" s="164"/>
      <c r="K186" s="164"/>
      <c r="L186" s="164"/>
      <c r="M186" s="164"/>
      <c r="N186" s="164"/>
      <c r="O186" s="164"/>
      <c r="P186" s="164"/>
      <c r="Q186" s="164"/>
      <c r="R186" s="164"/>
      <c r="S186" s="164"/>
      <c r="T186" s="164"/>
      <c r="U186" s="164"/>
      <c r="V186" s="19"/>
    </row>
    <row r="187" spans="1:22" x14ac:dyDescent="0.25">
      <c r="A187" s="76"/>
      <c r="B187" s="77"/>
      <c r="C187" s="77"/>
      <c r="D187" s="76"/>
      <c r="E187" s="76"/>
      <c r="F187" s="164"/>
      <c r="G187" s="164"/>
      <c r="H187" s="164"/>
      <c r="I187" s="164"/>
      <c r="J187" s="164"/>
      <c r="K187" s="164"/>
      <c r="L187" s="164"/>
      <c r="M187" s="164"/>
      <c r="N187" s="164"/>
      <c r="O187" s="164"/>
      <c r="P187" s="164"/>
      <c r="Q187" s="164"/>
      <c r="R187" s="164"/>
      <c r="S187" s="164"/>
      <c r="T187" s="164"/>
      <c r="U187" s="164"/>
      <c r="V187" s="19"/>
    </row>
    <row r="188" spans="1:22" x14ac:dyDescent="0.25">
      <c r="A188" s="76"/>
      <c r="B188" s="77"/>
      <c r="C188" s="77"/>
      <c r="D188" s="76"/>
      <c r="E188" s="76"/>
      <c r="F188" s="164"/>
      <c r="G188" s="164"/>
      <c r="H188" s="164"/>
      <c r="I188" s="164"/>
      <c r="J188" s="164"/>
      <c r="K188" s="164"/>
      <c r="L188" s="164"/>
      <c r="M188" s="164"/>
      <c r="N188" s="164"/>
      <c r="O188" s="164"/>
      <c r="P188" s="164"/>
      <c r="Q188" s="164"/>
      <c r="R188" s="164"/>
      <c r="S188" s="164"/>
      <c r="T188" s="164"/>
      <c r="U188" s="164"/>
      <c r="V188" s="19"/>
    </row>
    <row r="189" spans="1:22" x14ac:dyDescent="0.25">
      <c r="A189" s="76"/>
      <c r="B189" s="77"/>
      <c r="C189" s="77"/>
      <c r="D189" s="76"/>
      <c r="E189" s="76"/>
      <c r="F189" s="164"/>
      <c r="G189" s="164"/>
      <c r="H189" s="164"/>
      <c r="I189" s="164"/>
      <c r="J189" s="164"/>
      <c r="K189" s="164"/>
      <c r="L189" s="164"/>
      <c r="M189" s="164"/>
      <c r="N189" s="164"/>
      <c r="O189" s="164"/>
      <c r="P189" s="164"/>
      <c r="Q189" s="164"/>
      <c r="R189" s="164"/>
      <c r="S189" s="164"/>
      <c r="T189" s="164"/>
      <c r="U189" s="164"/>
      <c r="V189" s="19"/>
    </row>
    <row r="190" spans="1:22" x14ac:dyDescent="0.25">
      <c r="A190" s="76"/>
      <c r="B190" s="77"/>
      <c r="C190" s="77"/>
      <c r="D190" s="76"/>
      <c r="E190" s="76"/>
      <c r="F190" s="164"/>
      <c r="G190" s="164"/>
      <c r="H190" s="164"/>
      <c r="I190" s="164"/>
      <c r="J190" s="164"/>
      <c r="K190" s="164"/>
      <c r="L190" s="164"/>
      <c r="M190" s="164"/>
      <c r="N190" s="164"/>
      <c r="O190" s="164"/>
      <c r="P190" s="164"/>
      <c r="Q190" s="164"/>
      <c r="R190" s="164"/>
      <c r="S190" s="164"/>
      <c r="T190" s="164"/>
      <c r="U190" s="164"/>
      <c r="V190" s="19"/>
    </row>
    <row r="191" spans="1:22" x14ac:dyDescent="0.25">
      <c r="A191" s="76"/>
      <c r="B191" s="77"/>
      <c r="C191" s="77"/>
      <c r="D191" s="76"/>
      <c r="E191" s="76"/>
      <c r="F191" s="164"/>
      <c r="G191" s="164"/>
      <c r="H191" s="164"/>
      <c r="I191" s="164"/>
      <c r="J191" s="164"/>
      <c r="K191" s="164"/>
      <c r="L191" s="164"/>
      <c r="M191" s="164"/>
      <c r="N191" s="164"/>
      <c r="O191" s="164"/>
      <c r="P191" s="164"/>
      <c r="Q191" s="164"/>
      <c r="R191" s="164"/>
      <c r="S191" s="164"/>
      <c r="T191" s="164"/>
      <c r="U191" s="164"/>
      <c r="V191" s="19"/>
    </row>
    <row r="192" spans="1:22" x14ac:dyDescent="0.25">
      <c r="A192" s="76"/>
      <c r="B192" s="77"/>
      <c r="C192" s="77"/>
      <c r="D192" s="76"/>
      <c r="E192" s="76"/>
      <c r="F192" s="164"/>
      <c r="G192" s="164"/>
      <c r="H192" s="164"/>
      <c r="I192" s="164"/>
      <c r="J192" s="164"/>
      <c r="K192" s="164"/>
      <c r="L192" s="164"/>
      <c r="M192" s="164"/>
      <c r="N192" s="164"/>
      <c r="O192" s="164"/>
      <c r="P192" s="164"/>
      <c r="Q192" s="164"/>
      <c r="R192" s="164"/>
      <c r="S192" s="164"/>
      <c r="T192" s="164"/>
      <c r="U192" s="164"/>
      <c r="V192" s="19"/>
    </row>
    <row r="193" spans="1:22" x14ac:dyDescent="0.25">
      <c r="A193" s="76"/>
      <c r="B193" s="77"/>
      <c r="C193" s="77"/>
      <c r="D193" s="76"/>
      <c r="E193" s="76"/>
      <c r="F193" s="164"/>
      <c r="G193" s="164"/>
      <c r="H193" s="164"/>
      <c r="I193" s="164"/>
      <c r="J193" s="164"/>
      <c r="K193" s="164"/>
      <c r="L193" s="164"/>
      <c r="M193" s="164"/>
      <c r="N193" s="164"/>
      <c r="O193" s="164"/>
      <c r="P193" s="164"/>
      <c r="Q193" s="164"/>
      <c r="R193" s="164"/>
      <c r="S193" s="164"/>
      <c r="T193" s="164"/>
      <c r="U193" s="164"/>
      <c r="V193" s="19"/>
    </row>
    <row r="194" spans="1:22" x14ac:dyDescent="0.25">
      <c r="A194" s="76"/>
      <c r="B194" s="77"/>
      <c r="C194" s="77"/>
      <c r="D194" s="76"/>
      <c r="E194" s="76"/>
      <c r="F194" s="164"/>
      <c r="G194" s="164"/>
      <c r="H194" s="164"/>
      <c r="I194" s="164"/>
      <c r="J194" s="164"/>
      <c r="K194" s="164"/>
      <c r="L194" s="164"/>
      <c r="M194" s="164"/>
      <c r="N194" s="164"/>
      <c r="O194" s="164"/>
      <c r="P194" s="164"/>
      <c r="Q194" s="164"/>
      <c r="R194" s="164"/>
      <c r="S194" s="164"/>
      <c r="T194" s="164"/>
      <c r="U194" s="164"/>
      <c r="V194" s="19"/>
    </row>
    <row r="195" spans="1:22" x14ac:dyDescent="0.25">
      <c r="A195" s="76"/>
      <c r="B195" s="77"/>
      <c r="C195" s="77"/>
      <c r="D195" s="76"/>
      <c r="E195" s="76"/>
      <c r="F195" s="164"/>
      <c r="G195" s="164"/>
      <c r="H195" s="164"/>
      <c r="I195" s="164"/>
      <c r="J195" s="164"/>
      <c r="K195" s="164"/>
      <c r="L195" s="164"/>
      <c r="M195" s="164"/>
      <c r="N195" s="164"/>
      <c r="O195" s="164"/>
      <c r="P195" s="164"/>
      <c r="Q195" s="164"/>
      <c r="R195" s="164"/>
      <c r="S195" s="164"/>
      <c r="T195" s="164"/>
      <c r="U195" s="164"/>
      <c r="V195" s="19"/>
    </row>
    <row r="196" spans="1:22" x14ac:dyDescent="0.25">
      <c r="A196" s="76"/>
      <c r="B196" s="77"/>
      <c r="C196" s="77"/>
      <c r="D196" s="76"/>
      <c r="E196" s="76"/>
      <c r="F196" s="164"/>
      <c r="G196" s="164"/>
      <c r="H196" s="164"/>
      <c r="I196" s="164"/>
      <c r="J196" s="164"/>
      <c r="K196" s="164"/>
      <c r="L196" s="164"/>
      <c r="M196" s="164"/>
      <c r="N196" s="164"/>
      <c r="O196" s="164"/>
      <c r="P196" s="164"/>
      <c r="Q196" s="164"/>
      <c r="R196" s="164"/>
      <c r="S196" s="164"/>
      <c r="T196" s="164"/>
      <c r="U196" s="164"/>
      <c r="V196" s="19"/>
    </row>
    <row r="197" spans="1:22" x14ac:dyDescent="0.25">
      <c r="A197" s="76"/>
      <c r="B197" s="77"/>
      <c r="C197" s="77"/>
      <c r="D197" s="76"/>
      <c r="E197" s="76"/>
      <c r="F197" s="164"/>
      <c r="G197" s="164"/>
      <c r="H197" s="164"/>
      <c r="I197" s="164"/>
      <c r="J197" s="164"/>
      <c r="K197" s="164"/>
      <c r="L197" s="164"/>
      <c r="M197" s="164"/>
      <c r="N197" s="164"/>
      <c r="O197" s="164"/>
      <c r="P197" s="164"/>
      <c r="Q197" s="164"/>
      <c r="R197" s="164"/>
      <c r="S197" s="164"/>
      <c r="T197" s="164"/>
      <c r="U197" s="164"/>
      <c r="V197" s="19"/>
    </row>
    <row r="198" spans="1:22" x14ac:dyDescent="0.25">
      <c r="A198" s="76"/>
      <c r="B198" s="77"/>
      <c r="C198" s="77"/>
      <c r="D198" s="76"/>
      <c r="E198" s="76"/>
      <c r="F198" s="164"/>
      <c r="G198" s="164"/>
      <c r="H198" s="164"/>
      <c r="I198" s="164"/>
      <c r="J198" s="164"/>
      <c r="K198" s="164"/>
      <c r="L198" s="164"/>
      <c r="M198" s="164"/>
      <c r="N198" s="164"/>
      <c r="O198" s="164"/>
      <c r="P198" s="164"/>
      <c r="Q198" s="164"/>
      <c r="R198" s="164"/>
      <c r="S198" s="164"/>
      <c r="T198" s="164"/>
      <c r="U198" s="164"/>
      <c r="V198" s="19"/>
    </row>
    <row r="199" spans="1:22" x14ac:dyDescent="0.25">
      <c r="A199" s="76"/>
      <c r="B199" s="77"/>
      <c r="C199" s="77"/>
      <c r="D199" s="76"/>
      <c r="E199" s="76"/>
      <c r="F199" s="164"/>
      <c r="G199" s="164"/>
      <c r="H199" s="164"/>
      <c r="I199" s="164"/>
      <c r="J199" s="164"/>
      <c r="K199" s="164"/>
      <c r="L199" s="164"/>
      <c r="M199" s="164"/>
      <c r="N199" s="164"/>
      <c r="O199" s="164"/>
      <c r="P199" s="164"/>
      <c r="Q199" s="164"/>
      <c r="R199" s="164"/>
      <c r="S199" s="164"/>
      <c r="T199" s="164"/>
      <c r="U199" s="164"/>
      <c r="V199" s="19"/>
    </row>
    <row r="200" spans="1:22" x14ac:dyDescent="0.25">
      <c r="A200" s="76"/>
      <c r="B200" s="77"/>
      <c r="C200" s="77"/>
      <c r="D200" s="76"/>
      <c r="E200" s="76"/>
      <c r="F200" s="164"/>
      <c r="G200" s="164"/>
      <c r="H200" s="164"/>
      <c r="I200" s="164"/>
      <c r="J200" s="164"/>
      <c r="K200" s="164"/>
      <c r="L200" s="164"/>
      <c r="M200" s="164"/>
      <c r="N200" s="164"/>
      <c r="O200" s="164"/>
      <c r="P200" s="164"/>
      <c r="Q200" s="164"/>
      <c r="R200" s="164"/>
      <c r="S200" s="164"/>
      <c r="T200" s="164"/>
      <c r="U200" s="164"/>
      <c r="V200" s="19"/>
    </row>
    <row r="201" spans="1:22" x14ac:dyDescent="0.25">
      <c r="A201" s="76"/>
      <c r="B201" s="77"/>
      <c r="C201" s="77"/>
      <c r="D201" s="76"/>
      <c r="E201" s="76"/>
      <c r="F201" s="164"/>
      <c r="G201" s="164"/>
      <c r="H201" s="164"/>
      <c r="I201" s="164"/>
      <c r="J201" s="164"/>
      <c r="K201" s="164"/>
      <c r="L201" s="164"/>
      <c r="M201" s="164"/>
      <c r="N201" s="164"/>
      <c r="O201" s="164"/>
      <c r="P201" s="164"/>
      <c r="Q201" s="164"/>
      <c r="R201" s="164"/>
      <c r="S201" s="164"/>
      <c r="T201" s="164"/>
      <c r="U201" s="164"/>
      <c r="V201" s="19"/>
    </row>
    <row r="202" spans="1:22" x14ac:dyDescent="0.25">
      <c r="A202" s="76"/>
      <c r="B202" s="77"/>
      <c r="C202" s="77"/>
      <c r="D202" s="76"/>
      <c r="E202" s="76"/>
      <c r="F202" s="164"/>
      <c r="G202" s="164"/>
      <c r="H202" s="164"/>
      <c r="I202" s="164"/>
      <c r="J202" s="164"/>
      <c r="K202" s="164"/>
      <c r="L202" s="164"/>
      <c r="M202" s="164"/>
      <c r="N202" s="164"/>
      <c r="O202" s="164"/>
      <c r="P202" s="164"/>
      <c r="Q202" s="164"/>
      <c r="R202" s="164"/>
      <c r="S202" s="164"/>
      <c r="T202" s="164"/>
      <c r="U202" s="164"/>
      <c r="V202" s="19"/>
    </row>
    <row r="203" spans="1:22" x14ac:dyDescent="0.25">
      <c r="A203" s="76"/>
      <c r="B203" s="77"/>
      <c r="C203" s="77"/>
      <c r="D203" s="76"/>
      <c r="E203" s="76"/>
      <c r="F203" s="76"/>
      <c r="G203" s="76"/>
      <c r="H203" s="76"/>
      <c r="I203" s="19"/>
      <c r="J203" s="19"/>
      <c r="K203" s="19"/>
      <c r="L203" s="19"/>
      <c r="M203" s="19"/>
      <c r="N203" s="19"/>
      <c r="O203" s="19"/>
      <c r="P203" s="19"/>
      <c r="Q203" s="19"/>
      <c r="R203" s="19"/>
      <c r="S203" s="19"/>
      <c r="T203" s="19"/>
      <c r="U203" s="19"/>
      <c r="V203" s="19"/>
    </row>
    <row r="204" spans="1:22" x14ac:dyDescent="0.25">
      <c r="A204" s="76"/>
      <c r="B204" s="77"/>
      <c r="C204" s="77"/>
      <c r="D204" s="76"/>
      <c r="E204" s="76"/>
      <c r="F204" s="76"/>
      <c r="G204" s="76"/>
      <c r="H204" s="76"/>
      <c r="I204" s="19"/>
      <c r="J204" s="19"/>
      <c r="K204" s="19"/>
      <c r="L204" s="19"/>
      <c r="M204" s="19"/>
      <c r="N204" s="19"/>
      <c r="O204" s="19"/>
      <c r="P204" s="19"/>
      <c r="Q204" s="19"/>
      <c r="R204" s="19"/>
      <c r="S204" s="19"/>
      <c r="T204" s="19"/>
      <c r="U204" s="19"/>
      <c r="V204" s="19"/>
    </row>
    <row r="205" spans="1:22" x14ac:dyDescent="0.25">
      <c r="A205" s="14"/>
      <c r="B205" s="82"/>
      <c r="C205" s="82"/>
      <c r="D205" s="14"/>
      <c r="E205" s="14"/>
      <c r="F205" s="14"/>
      <c r="G205" s="14"/>
      <c r="H205" s="14"/>
    </row>
    <row r="206" spans="1:22" x14ac:dyDescent="0.25">
      <c r="A206" s="14"/>
      <c r="B206" s="82"/>
      <c r="C206" s="82"/>
      <c r="D206" s="14"/>
      <c r="E206" s="14"/>
      <c r="F206" s="14"/>
      <c r="G206" s="14"/>
      <c r="H206" s="14"/>
    </row>
    <row r="207" spans="1:22" x14ac:dyDescent="0.25">
      <c r="A207" s="14"/>
      <c r="B207" s="82"/>
      <c r="C207" s="82"/>
      <c r="D207" s="14"/>
      <c r="E207" s="14"/>
      <c r="F207" s="14"/>
      <c r="G207" s="14"/>
      <c r="H207" s="14"/>
    </row>
    <row r="208" spans="1:22" x14ac:dyDescent="0.25">
      <c r="A208" s="14"/>
      <c r="B208" s="82"/>
      <c r="C208" s="82"/>
      <c r="D208" s="14"/>
      <c r="E208" s="14"/>
      <c r="F208" s="14"/>
      <c r="G208" s="14"/>
      <c r="H208" s="14"/>
    </row>
    <row r="209" spans="1:8" x14ac:dyDescent="0.25">
      <c r="A209" s="14"/>
      <c r="B209" s="82"/>
      <c r="C209" s="82"/>
      <c r="D209" s="14"/>
      <c r="E209" s="14"/>
      <c r="F209" s="14"/>
      <c r="G209" s="14"/>
      <c r="H209" s="14"/>
    </row>
    <row r="210" spans="1:8" x14ac:dyDescent="0.25">
      <c r="A210" s="14"/>
      <c r="B210" s="82"/>
      <c r="C210" s="82"/>
      <c r="D210" s="14"/>
      <c r="E210" s="14"/>
      <c r="F210" s="14"/>
      <c r="G210" s="14"/>
      <c r="H210" s="14"/>
    </row>
    <row r="211" spans="1:8" x14ac:dyDescent="0.25">
      <c r="A211" s="14"/>
      <c r="B211" s="82"/>
      <c r="C211" s="82"/>
      <c r="D211" s="14"/>
      <c r="E211" s="14"/>
      <c r="F211" s="14"/>
      <c r="G211" s="14"/>
      <c r="H211" s="14"/>
    </row>
    <row r="212" spans="1:8" x14ac:dyDescent="0.25">
      <c r="A212" s="14"/>
      <c r="B212" s="82"/>
      <c r="C212" s="82"/>
      <c r="D212" s="14"/>
      <c r="E212" s="14"/>
      <c r="F212" s="14"/>
      <c r="G212" s="14"/>
      <c r="H212" s="14"/>
    </row>
    <row r="213" spans="1:8" x14ac:dyDescent="0.25">
      <c r="A213" s="14"/>
      <c r="B213" s="82"/>
      <c r="C213" s="82"/>
      <c r="D213" s="14"/>
      <c r="E213" s="14"/>
      <c r="F213" s="14"/>
      <c r="G213" s="14"/>
      <c r="H213" s="14"/>
    </row>
    <row r="214" spans="1:8" x14ac:dyDescent="0.25">
      <c r="A214" s="14"/>
      <c r="B214" s="82"/>
      <c r="C214" s="82"/>
      <c r="D214" s="14"/>
      <c r="E214" s="14"/>
      <c r="F214" s="14"/>
      <c r="G214" s="14"/>
      <c r="H214" s="14"/>
    </row>
    <row r="215" spans="1:8" x14ac:dyDescent="0.25">
      <c r="A215" s="14"/>
      <c r="B215" s="82"/>
      <c r="C215" s="82"/>
      <c r="D215" s="14"/>
      <c r="E215" s="14"/>
      <c r="F215" s="14"/>
      <c r="G215" s="14"/>
      <c r="H215" s="14"/>
    </row>
    <row r="216" spans="1:8" x14ac:dyDescent="0.25">
      <c r="A216" s="14"/>
      <c r="B216" s="82"/>
      <c r="C216" s="82"/>
      <c r="D216" s="14"/>
      <c r="E216" s="14"/>
      <c r="F216" s="14"/>
      <c r="G216" s="14"/>
      <c r="H216" s="14"/>
    </row>
    <row r="217" spans="1:8" x14ac:dyDescent="0.25">
      <c r="A217" s="14"/>
      <c r="B217" s="82"/>
      <c r="C217" s="82"/>
      <c r="D217" s="14"/>
      <c r="E217" s="14"/>
      <c r="F217" s="14"/>
      <c r="G217" s="14"/>
      <c r="H217" s="14"/>
    </row>
    <row r="218" spans="1:8" x14ac:dyDescent="0.25">
      <c r="A218" s="14"/>
      <c r="B218" s="82"/>
      <c r="C218" s="82"/>
      <c r="D218" s="14"/>
      <c r="E218" s="14"/>
      <c r="F218" s="14"/>
      <c r="G218" s="14"/>
      <c r="H218" s="14"/>
    </row>
    <row r="219" spans="1:8" x14ac:dyDescent="0.25">
      <c r="A219" s="14"/>
      <c r="B219" s="82"/>
      <c r="C219" s="82"/>
      <c r="D219" s="14"/>
      <c r="E219" s="14"/>
      <c r="F219" s="14"/>
      <c r="G219" s="14"/>
      <c r="H219" s="14"/>
    </row>
    <row r="220" spans="1:8" x14ac:dyDescent="0.25">
      <c r="A220" s="14"/>
      <c r="B220" s="82"/>
      <c r="C220" s="82"/>
      <c r="D220" s="14"/>
      <c r="E220" s="14"/>
      <c r="F220" s="14"/>
      <c r="G220" s="14"/>
      <c r="H220" s="14"/>
    </row>
    <row r="221" spans="1:8" x14ac:dyDescent="0.25">
      <c r="A221" s="14"/>
      <c r="B221" s="82"/>
      <c r="C221" s="82"/>
      <c r="D221" s="14"/>
      <c r="E221" s="14"/>
      <c r="F221" s="14"/>
      <c r="G221" s="14"/>
      <c r="H221" s="14"/>
    </row>
    <row r="222" spans="1:8" x14ac:dyDescent="0.25">
      <c r="A222" s="14"/>
      <c r="B222" s="82"/>
      <c r="C222" s="82"/>
      <c r="D222" s="14"/>
      <c r="E222" s="14"/>
      <c r="F222" s="14"/>
      <c r="G222" s="14"/>
      <c r="H222" s="14"/>
    </row>
    <row r="223" spans="1:8" x14ac:dyDescent="0.25">
      <c r="A223" s="14"/>
      <c r="B223" s="82"/>
      <c r="C223" s="82"/>
      <c r="D223" s="14"/>
      <c r="E223" s="14"/>
      <c r="F223" s="14"/>
      <c r="G223" s="14"/>
      <c r="H223" s="14"/>
    </row>
    <row r="224" spans="1:8" x14ac:dyDescent="0.25">
      <c r="A224" s="14"/>
      <c r="B224" s="82"/>
      <c r="C224" s="82"/>
      <c r="D224" s="14"/>
      <c r="E224" s="14"/>
      <c r="F224" s="14"/>
      <c r="G224" s="14"/>
      <c r="H224" s="14"/>
    </row>
    <row r="225" spans="1:8" x14ac:dyDescent="0.25">
      <c r="A225" s="14"/>
      <c r="B225" s="82"/>
      <c r="C225" s="82"/>
      <c r="D225" s="14"/>
      <c r="E225" s="14"/>
      <c r="F225" s="14"/>
      <c r="G225" s="14"/>
      <c r="H225" s="14"/>
    </row>
    <row r="226" spans="1:8" x14ac:dyDescent="0.25">
      <c r="A226" s="14"/>
      <c r="B226" s="82"/>
      <c r="C226" s="82"/>
      <c r="D226" s="14"/>
      <c r="E226" s="14"/>
      <c r="F226" s="14"/>
      <c r="G226" s="14"/>
      <c r="H226" s="14"/>
    </row>
    <row r="227" spans="1:8" x14ac:dyDescent="0.25">
      <c r="A227" s="14"/>
      <c r="B227" s="82"/>
      <c r="C227" s="82"/>
      <c r="D227" s="14"/>
      <c r="E227" s="14"/>
      <c r="F227" s="14"/>
      <c r="G227" s="14"/>
      <c r="H227" s="14"/>
    </row>
    <row r="228" spans="1:8" x14ac:dyDescent="0.25">
      <c r="A228" s="14"/>
      <c r="B228" s="82"/>
      <c r="C228" s="82"/>
      <c r="D228" s="14"/>
      <c r="E228" s="14"/>
      <c r="F228" s="14"/>
      <c r="G228" s="14"/>
      <c r="H228" s="14"/>
    </row>
    <row r="229" spans="1:8" x14ac:dyDescent="0.25">
      <c r="A229" s="14"/>
      <c r="B229" s="82"/>
      <c r="C229" s="82"/>
      <c r="D229" s="14"/>
      <c r="E229" s="14"/>
      <c r="F229" s="14"/>
      <c r="G229" s="14"/>
      <c r="H229" s="14"/>
    </row>
    <row r="230" spans="1:8" x14ac:dyDescent="0.25">
      <c r="A230" s="14"/>
      <c r="B230" s="82"/>
      <c r="C230" s="82"/>
      <c r="D230" s="14"/>
      <c r="E230" s="14"/>
      <c r="F230" s="14"/>
      <c r="G230" s="14"/>
      <c r="H230" s="14"/>
    </row>
    <row r="231" spans="1:8" x14ac:dyDescent="0.25">
      <c r="A231" s="14"/>
      <c r="B231" s="82"/>
      <c r="C231" s="82"/>
      <c r="D231" s="14"/>
      <c r="E231" s="14"/>
      <c r="F231" s="14"/>
      <c r="G231" s="14"/>
      <c r="H231" s="14"/>
    </row>
    <row r="232" spans="1:8" x14ac:dyDescent="0.25">
      <c r="A232" s="14"/>
      <c r="B232" s="82"/>
      <c r="C232" s="82"/>
      <c r="D232" s="14"/>
      <c r="E232" s="14"/>
      <c r="F232" s="14"/>
      <c r="G232" s="14"/>
      <c r="H232" s="14"/>
    </row>
    <row r="233" spans="1:8" x14ac:dyDescent="0.25">
      <c r="A233" s="14"/>
      <c r="B233" s="82"/>
      <c r="C233" s="82"/>
      <c r="D233" s="14"/>
      <c r="E233" s="14"/>
      <c r="F233" s="14"/>
      <c r="G233" s="14"/>
      <c r="H233" s="14"/>
    </row>
    <row r="234" spans="1:8" x14ac:dyDescent="0.25">
      <c r="A234" s="14"/>
      <c r="B234" s="82"/>
      <c r="C234" s="82"/>
      <c r="D234" s="14"/>
      <c r="E234" s="14"/>
      <c r="F234" s="14"/>
      <c r="G234" s="14"/>
      <c r="H234" s="14"/>
    </row>
    <row r="235" spans="1:8" x14ac:dyDescent="0.25">
      <c r="A235" s="14"/>
      <c r="B235" s="82"/>
      <c r="C235" s="82"/>
      <c r="D235" s="14"/>
      <c r="E235" s="14"/>
      <c r="F235" s="14"/>
      <c r="G235" s="14"/>
      <c r="H235" s="14"/>
    </row>
    <row r="236" spans="1:8" x14ac:dyDescent="0.25">
      <c r="A236" s="14"/>
      <c r="B236" s="82"/>
      <c r="C236" s="82"/>
      <c r="D236" s="14"/>
      <c r="E236" s="14"/>
      <c r="F236" s="14"/>
      <c r="G236" s="14"/>
      <c r="H236" s="14"/>
    </row>
    <row r="237" spans="1:8" x14ac:dyDescent="0.25">
      <c r="A237" s="14"/>
      <c r="B237" s="82"/>
      <c r="C237" s="82"/>
      <c r="D237" s="14"/>
      <c r="E237" s="14"/>
      <c r="F237" s="14"/>
      <c r="G237" s="14"/>
      <c r="H237" s="14"/>
    </row>
    <row r="238" spans="1:8" x14ac:dyDescent="0.25">
      <c r="A238" s="14"/>
      <c r="B238" s="82"/>
      <c r="C238" s="82"/>
      <c r="D238" s="14"/>
      <c r="E238" s="14"/>
      <c r="F238" s="14"/>
      <c r="G238" s="14"/>
      <c r="H238" s="14"/>
    </row>
    <row r="239" spans="1:8" x14ac:dyDescent="0.25">
      <c r="A239" s="14"/>
      <c r="B239" s="82"/>
      <c r="C239" s="82"/>
      <c r="D239" s="14"/>
      <c r="E239" s="14"/>
      <c r="F239" s="14"/>
      <c r="G239" s="14"/>
      <c r="H239" s="14"/>
    </row>
    <row r="240" spans="1:8" x14ac:dyDescent="0.25">
      <c r="A240" s="14"/>
      <c r="B240" s="82"/>
      <c r="C240" s="82"/>
      <c r="D240" s="14"/>
      <c r="E240" s="14"/>
      <c r="F240" s="14"/>
      <c r="G240" s="14"/>
      <c r="H240" s="14"/>
    </row>
    <row r="241" spans="1:8" x14ac:dyDescent="0.25">
      <c r="A241" s="14"/>
      <c r="B241" s="82"/>
      <c r="C241" s="82"/>
      <c r="D241" s="14"/>
      <c r="E241" s="14"/>
      <c r="F241" s="14"/>
      <c r="G241" s="14"/>
      <c r="H241" s="14"/>
    </row>
    <row r="242" spans="1:8" x14ac:dyDescent="0.25">
      <c r="A242" s="14"/>
      <c r="B242" s="82"/>
      <c r="C242" s="82"/>
      <c r="D242" s="14"/>
      <c r="E242" s="14"/>
      <c r="F242" s="14"/>
      <c r="G242" s="14"/>
      <c r="H242" s="14"/>
    </row>
    <row r="243" spans="1:8" x14ac:dyDescent="0.25">
      <c r="A243" s="14"/>
      <c r="B243" s="82"/>
      <c r="C243" s="82"/>
      <c r="D243" s="14"/>
      <c r="E243" s="14"/>
      <c r="F243" s="14"/>
      <c r="G243" s="14"/>
      <c r="H243" s="14"/>
    </row>
    <row r="244" spans="1:8" x14ac:dyDescent="0.25">
      <c r="A244" s="14"/>
      <c r="B244" s="82"/>
      <c r="C244" s="82"/>
      <c r="D244" s="14"/>
      <c r="E244" s="14"/>
      <c r="F244" s="14"/>
      <c r="G244" s="14"/>
      <c r="H244" s="14"/>
    </row>
    <row r="245" spans="1:8" x14ac:dyDescent="0.25">
      <c r="A245" s="14"/>
      <c r="B245" s="82"/>
      <c r="C245" s="82"/>
      <c r="D245" s="14"/>
      <c r="E245" s="14"/>
      <c r="F245" s="14"/>
      <c r="G245" s="14"/>
      <c r="H245" s="14"/>
    </row>
    <row r="246" spans="1:8" x14ac:dyDescent="0.25">
      <c r="A246" s="14"/>
      <c r="B246" s="82"/>
      <c r="C246" s="82"/>
      <c r="D246" s="14"/>
      <c r="E246" s="14"/>
      <c r="F246" s="14"/>
      <c r="G246" s="14"/>
      <c r="H246" s="14"/>
    </row>
    <row r="247" spans="1:8" x14ac:dyDescent="0.25">
      <c r="A247" s="14"/>
      <c r="B247" s="82"/>
      <c r="C247" s="82"/>
      <c r="D247" s="14"/>
      <c r="E247" s="14"/>
      <c r="F247" s="14"/>
      <c r="G247" s="14"/>
      <c r="H247" s="14"/>
    </row>
    <row r="248" spans="1:8" x14ac:dyDescent="0.25">
      <c r="A248" s="14"/>
      <c r="B248" s="82"/>
      <c r="C248" s="82"/>
      <c r="D248" s="14"/>
      <c r="E248" s="14"/>
      <c r="F248" s="14"/>
      <c r="G248" s="14"/>
      <c r="H248" s="14"/>
    </row>
    <row r="249" spans="1:8" x14ac:dyDescent="0.25">
      <c r="A249" s="14"/>
      <c r="B249" s="82"/>
      <c r="C249" s="82"/>
      <c r="D249" s="14"/>
      <c r="E249" s="14"/>
      <c r="F249" s="14"/>
      <c r="G249" s="14"/>
      <c r="H249" s="14"/>
    </row>
    <row r="250" spans="1:8" x14ac:dyDescent="0.25">
      <c r="A250" s="14"/>
      <c r="B250" s="82"/>
      <c r="C250" s="82"/>
      <c r="D250" s="14"/>
      <c r="E250" s="14"/>
      <c r="F250" s="14"/>
      <c r="G250" s="14"/>
      <c r="H250" s="14"/>
    </row>
    <row r="251" spans="1:8" x14ac:dyDescent="0.25">
      <c r="A251" s="14"/>
      <c r="B251" s="82"/>
      <c r="C251" s="82"/>
      <c r="D251" s="14"/>
      <c r="E251" s="14"/>
      <c r="F251" s="14"/>
      <c r="G251" s="14"/>
      <c r="H251" s="14"/>
    </row>
    <row r="252" spans="1:8" x14ac:dyDescent="0.25">
      <c r="A252" s="14"/>
      <c r="B252" s="82"/>
      <c r="C252" s="82"/>
      <c r="D252" s="14"/>
      <c r="E252" s="14"/>
      <c r="F252" s="14"/>
      <c r="G252" s="14"/>
      <c r="H252" s="14"/>
    </row>
    <row r="253" spans="1:8" x14ac:dyDescent="0.25">
      <c r="A253" s="14"/>
      <c r="B253" s="82"/>
      <c r="C253" s="82"/>
      <c r="D253" s="14"/>
      <c r="E253" s="14"/>
      <c r="F253" s="14"/>
      <c r="G253" s="14"/>
      <c r="H253" s="14"/>
    </row>
    <row r="254" spans="1:8" x14ac:dyDescent="0.25">
      <c r="A254" s="14"/>
      <c r="B254" s="82"/>
      <c r="C254" s="82"/>
      <c r="D254" s="14"/>
      <c r="E254" s="14"/>
      <c r="F254" s="14"/>
      <c r="G254" s="14"/>
      <c r="H254" s="14"/>
    </row>
    <row r="255" spans="1:8" x14ac:dyDescent="0.25">
      <c r="A255" s="14"/>
      <c r="B255" s="82"/>
      <c r="C255" s="82"/>
      <c r="D255" s="14"/>
      <c r="E255" s="14"/>
      <c r="F255" s="14"/>
      <c r="G255" s="14"/>
      <c r="H255" s="14"/>
    </row>
    <row r="256" spans="1:8" x14ac:dyDescent="0.25">
      <c r="A256" s="14"/>
      <c r="B256" s="82"/>
      <c r="C256" s="82"/>
      <c r="D256" s="14"/>
      <c r="E256" s="14"/>
      <c r="F256" s="14"/>
      <c r="G256" s="14"/>
      <c r="H256" s="14"/>
    </row>
    <row r="257" spans="1:8" x14ac:dyDescent="0.25">
      <c r="A257" s="14"/>
      <c r="B257" s="82"/>
      <c r="C257" s="82"/>
      <c r="D257" s="14"/>
      <c r="E257" s="14"/>
      <c r="F257" s="14"/>
      <c r="G257" s="14"/>
      <c r="H257" s="14"/>
    </row>
    <row r="258" spans="1:8" x14ac:dyDescent="0.25">
      <c r="A258" s="14"/>
      <c r="B258" s="82"/>
      <c r="C258" s="82"/>
      <c r="D258" s="14"/>
      <c r="E258" s="14"/>
      <c r="F258" s="14"/>
      <c r="G258" s="14"/>
      <c r="H258" s="14"/>
    </row>
    <row r="259" spans="1:8" x14ac:dyDescent="0.25">
      <c r="A259" s="14"/>
      <c r="B259" s="82"/>
      <c r="C259" s="82"/>
      <c r="D259" s="14"/>
      <c r="E259" s="14"/>
      <c r="F259" s="14"/>
      <c r="G259" s="14"/>
      <c r="H259" s="14"/>
    </row>
    <row r="260" spans="1:8" x14ac:dyDescent="0.25">
      <c r="A260" s="14"/>
      <c r="B260" s="82"/>
      <c r="C260" s="82"/>
      <c r="D260" s="14"/>
      <c r="E260" s="14"/>
      <c r="F260" s="14"/>
      <c r="G260" s="14"/>
      <c r="H260" s="14"/>
    </row>
    <row r="261" spans="1:8" x14ac:dyDescent="0.25">
      <c r="A261" s="14"/>
      <c r="B261" s="82"/>
      <c r="C261" s="82"/>
      <c r="D261" s="14"/>
      <c r="E261" s="14"/>
      <c r="F261" s="14"/>
      <c r="G261" s="14"/>
      <c r="H261" s="14"/>
    </row>
    <row r="262" spans="1:8" x14ac:dyDescent="0.25">
      <c r="A262" s="14"/>
      <c r="B262" s="82"/>
      <c r="C262" s="82"/>
      <c r="D262" s="14"/>
      <c r="E262" s="14"/>
      <c r="F262" s="14"/>
      <c r="G262" s="14"/>
      <c r="H262" s="14"/>
    </row>
    <row r="263" spans="1:8" x14ac:dyDescent="0.25">
      <c r="A263" s="14"/>
      <c r="B263" s="82"/>
      <c r="C263" s="82"/>
      <c r="D263" s="14"/>
      <c r="E263" s="14"/>
      <c r="F263" s="14"/>
      <c r="G263" s="14"/>
      <c r="H263" s="14"/>
    </row>
    <row r="264" spans="1:8" x14ac:dyDescent="0.25">
      <c r="A264" s="14"/>
      <c r="B264" s="82"/>
      <c r="C264" s="82"/>
      <c r="D264" s="14"/>
      <c r="E264" s="14"/>
      <c r="F264" s="14"/>
      <c r="G264" s="14"/>
      <c r="H264" s="14"/>
    </row>
    <row r="265" spans="1:8" x14ac:dyDescent="0.25">
      <c r="A265" s="14"/>
      <c r="B265" s="82"/>
      <c r="C265" s="82"/>
      <c r="D265" s="14"/>
      <c r="E265" s="14"/>
      <c r="F265" s="14"/>
      <c r="G265" s="14"/>
      <c r="H265" s="14"/>
    </row>
    <row r="266" spans="1:8" x14ac:dyDescent="0.25">
      <c r="A266" s="14"/>
      <c r="B266" s="82"/>
      <c r="C266" s="82"/>
      <c r="D266" s="14"/>
      <c r="E266" s="14"/>
      <c r="F266" s="14"/>
      <c r="G266" s="14"/>
      <c r="H266" s="14"/>
    </row>
    <row r="267" spans="1:8" x14ac:dyDescent="0.25">
      <c r="A267" s="14"/>
      <c r="B267" s="82"/>
      <c r="C267" s="82"/>
      <c r="D267" s="14"/>
      <c r="E267" s="14"/>
      <c r="F267" s="14"/>
      <c r="G267" s="14"/>
      <c r="H267" s="14"/>
    </row>
    <row r="268" spans="1:8" x14ac:dyDescent="0.25">
      <c r="A268" s="14"/>
      <c r="B268" s="82"/>
      <c r="C268" s="82"/>
      <c r="D268" s="14"/>
      <c r="E268" s="14"/>
      <c r="F268" s="14"/>
      <c r="G268" s="14"/>
      <c r="H268" s="14"/>
    </row>
    <row r="269" spans="1:8" x14ac:dyDescent="0.25">
      <c r="A269" s="14"/>
      <c r="B269" s="82"/>
      <c r="C269" s="82"/>
      <c r="D269" s="14"/>
      <c r="E269" s="14"/>
      <c r="F269" s="14"/>
      <c r="G269" s="14"/>
      <c r="H269" s="14"/>
    </row>
    <row r="270" spans="1:8" x14ac:dyDescent="0.25">
      <c r="A270" s="14"/>
      <c r="B270" s="82"/>
      <c r="C270" s="82"/>
      <c r="D270" s="14"/>
      <c r="E270" s="14"/>
      <c r="F270" s="14"/>
      <c r="G270" s="14"/>
      <c r="H270" s="14"/>
    </row>
    <row r="271" spans="1:8" x14ac:dyDescent="0.25">
      <c r="A271" s="14"/>
      <c r="B271" s="82"/>
      <c r="C271" s="82"/>
      <c r="D271" s="14"/>
      <c r="E271" s="14"/>
      <c r="F271" s="14"/>
      <c r="G271" s="14"/>
      <c r="H271" s="14"/>
    </row>
    <row r="272" spans="1:8" x14ac:dyDescent="0.25">
      <c r="A272" s="14"/>
      <c r="B272" s="82"/>
      <c r="C272" s="82"/>
      <c r="D272" s="14"/>
      <c r="E272" s="14"/>
      <c r="F272" s="14"/>
      <c r="G272" s="14"/>
      <c r="H272" s="14"/>
    </row>
    <row r="273" spans="1:8" x14ac:dyDescent="0.25">
      <c r="A273" s="14"/>
      <c r="B273" s="82"/>
      <c r="C273" s="82"/>
      <c r="D273" s="14"/>
      <c r="E273" s="14"/>
      <c r="F273" s="14"/>
      <c r="G273" s="14"/>
      <c r="H273" s="14"/>
    </row>
    <row r="274" spans="1:8" x14ac:dyDescent="0.25">
      <c r="A274" s="14"/>
      <c r="B274" s="82"/>
      <c r="C274" s="82"/>
      <c r="D274" s="14"/>
      <c r="E274" s="14"/>
      <c r="F274" s="14"/>
      <c r="G274" s="14"/>
      <c r="H274" s="14"/>
    </row>
    <row r="275" spans="1:8" x14ac:dyDescent="0.25">
      <c r="A275" s="14"/>
      <c r="B275" s="82"/>
      <c r="C275" s="82"/>
      <c r="D275" s="14"/>
      <c r="E275" s="14"/>
      <c r="F275" s="14"/>
      <c r="G275" s="14"/>
      <c r="H275" s="14"/>
    </row>
    <row r="276" spans="1:8" x14ac:dyDescent="0.25">
      <c r="A276" s="14"/>
      <c r="B276" s="82"/>
      <c r="C276" s="82"/>
      <c r="D276" s="14"/>
      <c r="E276" s="14"/>
      <c r="F276" s="14"/>
      <c r="G276" s="14"/>
      <c r="H276" s="14"/>
    </row>
    <row r="277" spans="1:8" x14ac:dyDescent="0.25">
      <c r="A277" s="14"/>
      <c r="B277" s="82"/>
      <c r="C277" s="82"/>
      <c r="D277" s="14"/>
      <c r="E277" s="14"/>
      <c r="F277" s="14"/>
      <c r="G277" s="14"/>
      <c r="H277" s="14"/>
    </row>
    <row r="278" spans="1:8" x14ac:dyDescent="0.25">
      <c r="A278" s="14"/>
      <c r="B278" s="82"/>
      <c r="C278" s="82"/>
      <c r="D278" s="14"/>
      <c r="E278" s="14"/>
      <c r="F278" s="14"/>
      <c r="G278" s="14"/>
      <c r="H278" s="14"/>
    </row>
    <row r="279" spans="1:8" x14ac:dyDescent="0.25">
      <c r="A279" s="14"/>
      <c r="B279" s="82"/>
      <c r="C279" s="82"/>
      <c r="D279" s="14"/>
      <c r="E279" s="14"/>
      <c r="F279" s="14"/>
      <c r="G279" s="14"/>
      <c r="H279" s="14"/>
    </row>
    <row r="280" spans="1:8" x14ac:dyDescent="0.25">
      <c r="A280" s="14"/>
      <c r="B280" s="82"/>
      <c r="C280" s="82"/>
      <c r="D280" s="14"/>
      <c r="E280" s="14"/>
      <c r="F280" s="14"/>
      <c r="G280" s="14"/>
      <c r="H280" s="14"/>
    </row>
    <row r="281" spans="1:8" x14ac:dyDescent="0.25">
      <c r="A281" s="14"/>
      <c r="B281" s="82"/>
      <c r="C281" s="82"/>
      <c r="D281" s="14"/>
      <c r="E281" s="14"/>
      <c r="F281" s="14"/>
      <c r="G281" s="14"/>
      <c r="H281" s="14"/>
    </row>
    <row r="282" spans="1:8" x14ac:dyDescent="0.25">
      <c r="A282" s="14"/>
      <c r="B282" s="82"/>
      <c r="C282" s="82"/>
      <c r="D282" s="14"/>
      <c r="E282" s="14"/>
      <c r="F282" s="14"/>
      <c r="G282" s="14"/>
      <c r="H282" s="14"/>
    </row>
    <row r="283" spans="1:8" x14ac:dyDescent="0.25">
      <c r="A283" s="14"/>
      <c r="B283" s="82"/>
      <c r="C283" s="82"/>
      <c r="D283" s="14"/>
      <c r="E283" s="14"/>
      <c r="F283" s="14"/>
      <c r="G283" s="14"/>
      <c r="H283" s="14"/>
    </row>
    <row r="284" spans="1:8" x14ac:dyDescent="0.25">
      <c r="A284" s="14"/>
      <c r="B284" s="82"/>
      <c r="C284" s="82"/>
      <c r="D284" s="14"/>
      <c r="E284" s="14"/>
      <c r="F284" s="14"/>
      <c r="G284" s="14"/>
      <c r="H284" s="14"/>
    </row>
    <row r="285" spans="1:8" x14ac:dyDescent="0.25">
      <c r="A285" s="14"/>
      <c r="B285" s="82"/>
      <c r="C285" s="82"/>
      <c r="D285" s="14"/>
      <c r="E285" s="14"/>
      <c r="F285" s="14"/>
      <c r="G285" s="14"/>
      <c r="H285" s="14"/>
    </row>
    <row r="286" spans="1:8" x14ac:dyDescent="0.25">
      <c r="A286" s="14"/>
      <c r="B286" s="82"/>
      <c r="C286" s="82"/>
      <c r="D286" s="14"/>
      <c r="E286" s="14"/>
      <c r="F286" s="14"/>
      <c r="G286" s="14"/>
      <c r="H286" s="14"/>
    </row>
    <row r="287" spans="1:8" x14ac:dyDescent="0.25">
      <c r="A287" s="14"/>
      <c r="B287" s="82"/>
      <c r="C287" s="82"/>
      <c r="D287" s="14"/>
      <c r="E287" s="14"/>
      <c r="F287" s="14"/>
      <c r="G287" s="14"/>
      <c r="H287" s="14"/>
    </row>
    <row r="288" spans="1:8" x14ac:dyDescent="0.25">
      <c r="A288" s="14"/>
      <c r="B288" s="82"/>
      <c r="C288" s="82"/>
      <c r="D288" s="14"/>
      <c r="E288" s="14"/>
      <c r="F288" s="14"/>
      <c r="G288" s="14"/>
      <c r="H288" s="14"/>
    </row>
    <row r="289" spans="1:8" x14ac:dyDescent="0.25">
      <c r="A289" s="14"/>
      <c r="B289" s="82"/>
      <c r="C289" s="82"/>
      <c r="D289" s="14"/>
      <c r="E289" s="14"/>
      <c r="F289" s="14"/>
      <c r="G289" s="14"/>
      <c r="H289" s="14"/>
    </row>
    <row r="290" spans="1:8" x14ac:dyDescent="0.25">
      <c r="A290" s="14"/>
      <c r="B290" s="82"/>
      <c r="C290" s="82"/>
      <c r="D290" s="14"/>
      <c r="E290" s="14"/>
      <c r="F290" s="14"/>
      <c r="G290" s="14"/>
      <c r="H290" s="14"/>
    </row>
    <row r="291" spans="1:8" x14ac:dyDescent="0.25">
      <c r="A291" s="14"/>
      <c r="B291" s="82"/>
      <c r="C291" s="82"/>
      <c r="D291" s="14"/>
      <c r="E291" s="14"/>
      <c r="F291" s="14"/>
      <c r="G291" s="14"/>
      <c r="H291" s="14"/>
    </row>
    <row r="292" spans="1:8" x14ac:dyDescent="0.25">
      <c r="A292" s="14"/>
      <c r="B292" s="82"/>
      <c r="C292" s="82"/>
      <c r="D292" s="14"/>
      <c r="E292" s="14"/>
      <c r="F292" s="14"/>
      <c r="G292" s="14"/>
      <c r="H292" s="14"/>
    </row>
    <row r="293" spans="1:8" x14ac:dyDescent="0.25">
      <c r="A293" s="14"/>
      <c r="B293" s="82"/>
      <c r="C293" s="82"/>
      <c r="D293" s="14"/>
      <c r="E293" s="14"/>
      <c r="F293" s="14"/>
      <c r="G293" s="14"/>
      <c r="H293" s="14"/>
    </row>
    <row r="294" spans="1:8" x14ac:dyDescent="0.25">
      <c r="A294" s="14"/>
      <c r="B294" s="82"/>
      <c r="C294" s="82"/>
      <c r="D294" s="14"/>
      <c r="E294" s="14"/>
      <c r="F294" s="14"/>
      <c r="G294" s="14"/>
      <c r="H294" s="14"/>
    </row>
    <row r="295" spans="1:8" x14ac:dyDescent="0.25">
      <c r="A295" s="14"/>
      <c r="B295" s="82"/>
      <c r="C295" s="82"/>
      <c r="D295" s="14"/>
      <c r="E295" s="14"/>
      <c r="F295" s="14"/>
      <c r="G295" s="14"/>
      <c r="H295" s="14"/>
    </row>
    <row r="296" spans="1:8" x14ac:dyDescent="0.25">
      <c r="A296" s="14"/>
      <c r="B296" s="82"/>
      <c r="C296" s="82"/>
      <c r="D296" s="14"/>
      <c r="E296" s="14"/>
      <c r="F296" s="14"/>
      <c r="G296" s="14"/>
      <c r="H296" s="14"/>
    </row>
    <row r="297" spans="1:8" x14ac:dyDescent="0.25">
      <c r="A297" s="14"/>
      <c r="B297" s="82"/>
      <c r="C297" s="82"/>
      <c r="D297" s="14"/>
      <c r="E297" s="14"/>
      <c r="F297" s="14"/>
      <c r="G297" s="14"/>
      <c r="H297" s="14"/>
    </row>
    <row r="298" spans="1:8" x14ac:dyDescent="0.25">
      <c r="A298" s="14"/>
      <c r="B298" s="82"/>
      <c r="C298" s="82"/>
      <c r="D298" s="14"/>
      <c r="E298" s="14"/>
      <c r="F298" s="14"/>
      <c r="G298" s="14"/>
      <c r="H298" s="14"/>
    </row>
    <row r="299" spans="1:8" x14ac:dyDescent="0.25">
      <c r="A299" s="14"/>
      <c r="B299" s="82"/>
      <c r="C299" s="82"/>
      <c r="D299" s="14"/>
      <c r="E299" s="14"/>
      <c r="F299" s="14"/>
      <c r="G299" s="14"/>
      <c r="H299" s="14"/>
    </row>
    <row r="300" spans="1:8" x14ac:dyDescent="0.25">
      <c r="A300" s="14"/>
      <c r="B300" s="82"/>
      <c r="C300" s="82"/>
      <c r="D300" s="14"/>
      <c r="E300" s="14"/>
      <c r="F300" s="14"/>
      <c r="G300" s="14"/>
      <c r="H300" s="14"/>
    </row>
    <row r="301" spans="1:8" x14ac:dyDescent="0.25">
      <c r="A301" s="14"/>
      <c r="B301" s="82"/>
      <c r="C301" s="82"/>
      <c r="D301" s="14"/>
      <c r="E301" s="14"/>
      <c r="F301" s="14"/>
      <c r="G301" s="14"/>
      <c r="H301" s="14"/>
    </row>
    <row r="302" spans="1:8" x14ac:dyDescent="0.25">
      <c r="A302" s="14"/>
      <c r="B302" s="82"/>
      <c r="C302" s="82"/>
      <c r="D302" s="14"/>
      <c r="E302" s="14"/>
      <c r="F302" s="14"/>
      <c r="G302" s="14"/>
      <c r="H302" s="14"/>
    </row>
    <row r="303" spans="1:8" x14ac:dyDescent="0.25">
      <c r="A303" s="14"/>
      <c r="B303" s="82"/>
      <c r="C303" s="82"/>
      <c r="D303" s="14"/>
      <c r="E303" s="14"/>
      <c r="F303" s="14"/>
      <c r="G303" s="14"/>
      <c r="H303" s="14"/>
    </row>
    <row r="304" spans="1:8" x14ac:dyDescent="0.25">
      <c r="A304" s="14"/>
      <c r="B304" s="82"/>
      <c r="C304" s="82"/>
      <c r="D304" s="14"/>
      <c r="E304" s="14"/>
      <c r="F304" s="14"/>
      <c r="G304" s="14"/>
      <c r="H304" s="14"/>
    </row>
    <row r="305" spans="1:8" x14ac:dyDescent="0.25">
      <c r="A305" s="14"/>
      <c r="B305" s="82"/>
      <c r="C305" s="82"/>
      <c r="D305" s="14"/>
      <c r="E305" s="14"/>
      <c r="F305" s="14"/>
      <c r="G305" s="14"/>
      <c r="H305" s="14"/>
    </row>
    <row r="306" spans="1:8" x14ac:dyDescent="0.25">
      <c r="A306" s="14"/>
      <c r="B306" s="82"/>
      <c r="C306" s="82"/>
      <c r="D306" s="14"/>
      <c r="E306" s="14"/>
      <c r="F306" s="14"/>
      <c r="G306" s="14"/>
      <c r="H306" s="14"/>
    </row>
    <row r="307" spans="1:8" x14ac:dyDescent="0.25">
      <c r="A307" s="14"/>
      <c r="B307" s="82"/>
      <c r="C307" s="82"/>
      <c r="D307" s="14"/>
      <c r="E307" s="14"/>
      <c r="F307" s="14"/>
      <c r="G307" s="14"/>
      <c r="H307" s="14"/>
    </row>
    <row r="308" spans="1:8" x14ac:dyDescent="0.25">
      <c r="A308" s="14"/>
      <c r="B308" s="82"/>
      <c r="C308" s="82"/>
      <c r="D308" s="14"/>
      <c r="E308" s="14"/>
      <c r="F308" s="14"/>
      <c r="G308" s="14"/>
      <c r="H308" s="14"/>
    </row>
    <row r="309" spans="1:8" x14ac:dyDescent="0.25">
      <c r="A309" s="14"/>
      <c r="B309" s="82"/>
      <c r="C309" s="82"/>
      <c r="D309" s="14"/>
      <c r="E309" s="14"/>
      <c r="F309" s="14"/>
      <c r="G309" s="14"/>
      <c r="H309" s="14"/>
    </row>
    <row r="310" spans="1:8" x14ac:dyDescent="0.25">
      <c r="A310" s="14"/>
      <c r="B310" s="82"/>
      <c r="C310" s="82"/>
      <c r="D310" s="14"/>
      <c r="E310" s="14"/>
      <c r="F310" s="14"/>
      <c r="G310" s="14"/>
      <c r="H310" s="14"/>
    </row>
    <row r="311" spans="1:8" x14ac:dyDescent="0.25">
      <c r="A311" s="14"/>
      <c r="B311" s="82"/>
      <c r="C311" s="82"/>
      <c r="D311" s="14"/>
      <c r="E311" s="14"/>
      <c r="F311" s="14"/>
      <c r="G311" s="14"/>
      <c r="H311" s="14"/>
    </row>
    <row r="312" spans="1:8" x14ac:dyDescent="0.25">
      <c r="A312" s="14"/>
      <c r="B312" s="82"/>
      <c r="C312" s="82"/>
      <c r="D312" s="14"/>
      <c r="E312" s="14"/>
      <c r="F312" s="14"/>
      <c r="G312" s="14"/>
      <c r="H312" s="14"/>
    </row>
    <row r="313" spans="1:8" x14ac:dyDescent="0.25">
      <c r="A313" s="14"/>
      <c r="B313" s="82"/>
      <c r="C313" s="82"/>
      <c r="D313" s="14"/>
      <c r="E313" s="14"/>
      <c r="F313" s="14"/>
      <c r="G313" s="14"/>
      <c r="H313" s="14"/>
    </row>
    <row r="314" spans="1:8" x14ac:dyDescent="0.25">
      <c r="A314" s="14"/>
      <c r="B314" s="82"/>
      <c r="C314" s="82"/>
      <c r="D314" s="14"/>
      <c r="E314" s="14"/>
      <c r="F314" s="14"/>
      <c r="G314" s="14"/>
      <c r="H314" s="14"/>
    </row>
    <row r="315" spans="1:8" x14ac:dyDescent="0.25">
      <c r="A315" s="14"/>
      <c r="B315" s="82"/>
      <c r="C315" s="82"/>
      <c r="D315" s="14"/>
      <c r="E315" s="14"/>
      <c r="F315" s="14"/>
      <c r="G315" s="14"/>
      <c r="H315" s="14"/>
    </row>
    <row r="316" spans="1:8" x14ac:dyDescent="0.25">
      <c r="A316" s="14"/>
      <c r="B316" s="82"/>
      <c r="C316" s="82"/>
      <c r="D316" s="14"/>
      <c r="E316" s="14"/>
      <c r="F316" s="14"/>
      <c r="G316" s="14"/>
      <c r="H316" s="14"/>
    </row>
    <row r="317" spans="1:8" x14ac:dyDescent="0.25">
      <c r="A317" s="14"/>
      <c r="B317" s="82"/>
      <c r="C317" s="82"/>
      <c r="D317" s="14"/>
      <c r="E317" s="14"/>
      <c r="F317" s="14"/>
      <c r="G317" s="14"/>
      <c r="H317" s="14"/>
    </row>
    <row r="318" spans="1:8" x14ac:dyDescent="0.25">
      <c r="A318" s="14"/>
      <c r="B318" s="82"/>
      <c r="C318" s="82"/>
      <c r="D318" s="14"/>
      <c r="E318" s="14"/>
      <c r="F318" s="14"/>
      <c r="G318" s="14"/>
      <c r="H318" s="14"/>
    </row>
    <row r="319" spans="1:8" x14ac:dyDescent="0.25">
      <c r="A319" s="14"/>
      <c r="B319" s="82"/>
      <c r="C319" s="82"/>
      <c r="D319" s="14"/>
      <c r="E319" s="14"/>
      <c r="F319" s="14"/>
      <c r="G319" s="14"/>
      <c r="H319" s="14"/>
    </row>
    <row r="320" spans="1:8" x14ac:dyDescent="0.25">
      <c r="A320" s="14"/>
      <c r="B320" s="82"/>
      <c r="C320" s="82"/>
      <c r="D320" s="14"/>
      <c r="E320" s="14"/>
      <c r="F320" s="14"/>
      <c r="G320" s="14"/>
      <c r="H320" s="14"/>
    </row>
    <row r="321" spans="1:8" x14ac:dyDescent="0.25">
      <c r="A321" s="14"/>
      <c r="B321" s="82"/>
      <c r="C321" s="82"/>
      <c r="D321" s="14"/>
      <c r="E321" s="14"/>
      <c r="F321" s="14"/>
      <c r="G321" s="14"/>
      <c r="H321" s="14"/>
    </row>
    <row r="322" spans="1:8" x14ac:dyDescent="0.25">
      <c r="A322" s="14"/>
      <c r="B322" s="82"/>
      <c r="C322" s="82"/>
      <c r="D322" s="14"/>
      <c r="E322" s="14"/>
      <c r="F322" s="14"/>
      <c r="G322" s="14"/>
      <c r="H322" s="14"/>
    </row>
    <row r="323" spans="1:8" x14ac:dyDescent="0.25">
      <c r="A323" s="14"/>
      <c r="B323" s="82"/>
      <c r="C323" s="82"/>
      <c r="D323" s="14"/>
      <c r="E323" s="14"/>
      <c r="F323" s="14"/>
      <c r="G323" s="14"/>
      <c r="H323" s="14"/>
    </row>
    <row r="324" spans="1:8" x14ac:dyDescent="0.25">
      <c r="A324" s="14"/>
      <c r="B324" s="82"/>
      <c r="C324" s="82"/>
      <c r="D324" s="14"/>
      <c r="E324" s="14"/>
      <c r="F324" s="14"/>
      <c r="G324" s="14"/>
      <c r="H324" s="14"/>
    </row>
    <row r="325" spans="1:8" x14ac:dyDescent="0.25">
      <c r="A325" s="14"/>
      <c r="B325" s="82"/>
      <c r="C325" s="82"/>
      <c r="D325" s="14"/>
      <c r="E325" s="14"/>
      <c r="F325" s="14"/>
      <c r="G325" s="14"/>
      <c r="H325" s="14"/>
    </row>
    <row r="326" spans="1:8" x14ac:dyDescent="0.25">
      <c r="A326" s="14"/>
      <c r="B326" s="82"/>
      <c r="C326" s="82"/>
      <c r="D326" s="14"/>
      <c r="E326" s="14"/>
      <c r="F326" s="14"/>
      <c r="G326" s="14"/>
      <c r="H326" s="14"/>
    </row>
    <row r="327" spans="1:8" x14ac:dyDescent="0.25">
      <c r="A327" s="14"/>
      <c r="B327" s="82"/>
      <c r="C327" s="82"/>
      <c r="D327" s="14"/>
      <c r="E327" s="14"/>
      <c r="F327" s="14"/>
      <c r="G327" s="14"/>
      <c r="H327" s="14"/>
    </row>
    <row r="328" spans="1:8" x14ac:dyDescent="0.25">
      <c r="A328" s="14"/>
      <c r="B328" s="82"/>
      <c r="C328" s="82"/>
      <c r="D328" s="14"/>
      <c r="E328" s="14"/>
      <c r="F328" s="14"/>
      <c r="G328" s="14"/>
      <c r="H328" s="14"/>
    </row>
    <row r="329" spans="1:8" x14ac:dyDescent="0.25">
      <c r="A329" s="14"/>
      <c r="B329" s="82"/>
      <c r="C329" s="82"/>
      <c r="D329" s="14"/>
      <c r="E329" s="14"/>
      <c r="F329" s="14"/>
      <c r="G329" s="14"/>
      <c r="H329" s="14"/>
    </row>
    <row r="330" spans="1:8" x14ac:dyDescent="0.25">
      <c r="A330" s="14"/>
      <c r="B330" s="82"/>
      <c r="C330" s="82"/>
      <c r="D330" s="14"/>
      <c r="E330" s="14"/>
      <c r="F330" s="14"/>
      <c r="G330" s="14"/>
      <c r="H330" s="14"/>
    </row>
    <row r="331" spans="1:8" x14ac:dyDescent="0.25">
      <c r="A331" s="14"/>
      <c r="B331" s="82"/>
      <c r="C331" s="82"/>
      <c r="D331" s="14"/>
      <c r="E331" s="14"/>
      <c r="F331" s="14"/>
      <c r="G331" s="14"/>
      <c r="H331" s="14"/>
    </row>
    <row r="332" spans="1:8" x14ac:dyDescent="0.25">
      <c r="A332" s="14"/>
      <c r="B332" s="82"/>
      <c r="C332" s="82"/>
      <c r="D332" s="14"/>
      <c r="E332" s="14"/>
      <c r="F332" s="14"/>
      <c r="G332" s="14"/>
      <c r="H332" s="14"/>
    </row>
    <row r="333" spans="1:8" x14ac:dyDescent="0.25">
      <c r="A333" s="14"/>
      <c r="B333" s="82"/>
      <c r="C333" s="82"/>
      <c r="D333" s="14"/>
      <c r="E333" s="14"/>
      <c r="F333" s="14"/>
      <c r="G333" s="14"/>
      <c r="H333" s="14"/>
    </row>
    <row r="334" spans="1:8" x14ac:dyDescent="0.25">
      <c r="A334" s="14"/>
      <c r="B334" s="82"/>
      <c r="C334" s="82"/>
      <c r="D334" s="14"/>
      <c r="E334" s="14"/>
      <c r="F334" s="14"/>
      <c r="G334" s="14"/>
      <c r="H334" s="14"/>
    </row>
    <row r="335" spans="1:8" x14ac:dyDescent="0.25">
      <c r="A335" s="14"/>
      <c r="B335" s="82"/>
      <c r="C335" s="82"/>
      <c r="D335" s="14"/>
      <c r="E335" s="14"/>
      <c r="F335" s="14"/>
      <c r="G335" s="14"/>
      <c r="H335" s="14"/>
    </row>
    <row r="336" spans="1:8" x14ac:dyDescent="0.25">
      <c r="A336" s="14"/>
      <c r="B336" s="82"/>
      <c r="C336" s="82"/>
      <c r="D336" s="14"/>
      <c r="E336" s="14"/>
      <c r="F336" s="14"/>
      <c r="G336" s="14"/>
      <c r="H336" s="14"/>
    </row>
    <row r="337" spans="1:8" x14ac:dyDescent="0.25">
      <c r="A337" s="14"/>
      <c r="B337" s="82"/>
      <c r="C337" s="82"/>
      <c r="D337" s="14"/>
      <c r="E337" s="14"/>
      <c r="F337" s="14"/>
      <c r="G337" s="14"/>
      <c r="H337" s="14"/>
    </row>
    <row r="338" spans="1:8" x14ac:dyDescent="0.25">
      <c r="A338" s="14"/>
      <c r="B338" s="82"/>
      <c r="C338" s="82"/>
      <c r="D338" s="14"/>
      <c r="E338" s="14"/>
      <c r="F338" s="14"/>
      <c r="G338" s="14"/>
      <c r="H338" s="14"/>
    </row>
    <row r="339" spans="1:8" x14ac:dyDescent="0.25">
      <c r="A339" s="14"/>
      <c r="B339" s="82"/>
      <c r="C339" s="82"/>
      <c r="D339" s="14"/>
      <c r="E339" s="14"/>
      <c r="F339" s="14"/>
      <c r="G339" s="14"/>
      <c r="H339" s="14"/>
    </row>
    <row r="340" spans="1:8" x14ac:dyDescent="0.25">
      <c r="A340" s="14"/>
      <c r="B340" s="82"/>
      <c r="C340" s="82"/>
      <c r="D340" s="14"/>
      <c r="E340" s="14"/>
      <c r="F340" s="14"/>
      <c r="G340" s="14"/>
      <c r="H340" s="14"/>
    </row>
    <row r="341" spans="1:8" x14ac:dyDescent="0.25">
      <c r="A341" s="14"/>
      <c r="B341" s="82"/>
      <c r="C341" s="82"/>
      <c r="D341" s="14"/>
      <c r="E341" s="14"/>
      <c r="F341" s="14"/>
      <c r="G341" s="14"/>
      <c r="H341" s="14"/>
    </row>
    <row r="342" spans="1:8" x14ac:dyDescent="0.25">
      <c r="A342" s="14"/>
      <c r="B342" s="82"/>
      <c r="C342" s="82"/>
      <c r="D342" s="14"/>
      <c r="E342" s="14"/>
      <c r="F342" s="14"/>
      <c r="G342" s="14"/>
      <c r="H342" s="14"/>
    </row>
    <row r="343" spans="1:8" x14ac:dyDescent="0.25">
      <c r="A343" s="14"/>
      <c r="B343" s="82"/>
      <c r="C343" s="82"/>
      <c r="D343" s="14"/>
      <c r="E343" s="14"/>
      <c r="F343" s="14"/>
      <c r="G343" s="14"/>
      <c r="H343" s="14"/>
    </row>
    <row r="344" spans="1:8" x14ac:dyDescent="0.25">
      <c r="A344" s="14"/>
      <c r="B344" s="82"/>
      <c r="C344" s="82"/>
      <c r="D344" s="14"/>
      <c r="E344" s="14"/>
      <c r="F344" s="14"/>
      <c r="G344" s="14"/>
      <c r="H344" s="14"/>
    </row>
    <row r="345" spans="1:8" x14ac:dyDescent="0.25">
      <c r="A345" s="14"/>
      <c r="B345" s="82"/>
      <c r="C345" s="82"/>
      <c r="D345" s="14"/>
      <c r="E345" s="14"/>
      <c r="F345" s="14"/>
      <c r="G345" s="14"/>
      <c r="H345" s="14"/>
    </row>
    <row r="346" spans="1:8" x14ac:dyDescent="0.25">
      <c r="A346" s="14"/>
      <c r="B346" s="82"/>
      <c r="C346" s="82"/>
      <c r="D346" s="14"/>
      <c r="E346" s="14"/>
      <c r="F346" s="14"/>
      <c r="G346" s="14"/>
      <c r="H346" s="14"/>
    </row>
    <row r="347" spans="1:8" x14ac:dyDescent="0.25">
      <c r="A347" s="14"/>
      <c r="B347" s="82"/>
      <c r="C347" s="82"/>
      <c r="D347" s="14"/>
      <c r="E347" s="14"/>
      <c r="F347" s="14"/>
      <c r="G347" s="14"/>
      <c r="H347" s="14"/>
    </row>
    <row r="348" spans="1:8" x14ac:dyDescent="0.25">
      <c r="A348" s="14"/>
      <c r="B348" s="82"/>
      <c r="C348" s="82"/>
      <c r="D348" s="14"/>
      <c r="E348" s="14"/>
      <c r="F348" s="14"/>
      <c r="G348" s="14"/>
      <c r="H348" s="14"/>
    </row>
    <row r="349" spans="1:8" x14ac:dyDescent="0.25">
      <c r="A349" s="14"/>
      <c r="B349" s="82"/>
      <c r="C349" s="82"/>
      <c r="D349" s="14"/>
      <c r="E349" s="14"/>
      <c r="F349" s="14"/>
      <c r="G349" s="14"/>
      <c r="H349" s="14"/>
    </row>
    <row r="350" spans="1:8" x14ac:dyDescent="0.25">
      <c r="A350" s="14"/>
      <c r="B350" s="82"/>
      <c r="C350" s="82"/>
      <c r="D350" s="14"/>
      <c r="E350" s="14"/>
      <c r="F350" s="14"/>
      <c r="G350" s="14"/>
      <c r="H350" s="14"/>
    </row>
    <row r="351" spans="1:8" x14ac:dyDescent="0.25">
      <c r="A351" s="14"/>
      <c r="B351" s="82"/>
      <c r="C351" s="82"/>
      <c r="D351" s="14"/>
      <c r="E351" s="14"/>
      <c r="F351" s="14"/>
      <c r="G351" s="14"/>
      <c r="H351" s="14"/>
    </row>
    <row r="352" spans="1:8" x14ac:dyDescent="0.25">
      <c r="A352" s="14"/>
      <c r="B352" s="82"/>
      <c r="C352" s="82"/>
      <c r="D352" s="14"/>
      <c r="E352" s="14"/>
      <c r="F352" s="14"/>
      <c r="G352" s="14"/>
      <c r="H352" s="14"/>
    </row>
    <row r="353" spans="1:8" x14ac:dyDescent="0.25">
      <c r="A353" s="14"/>
      <c r="B353" s="82"/>
      <c r="C353" s="82"/>
      <c r="D353" s="14"/>
      <c r="E353" s="14"/>
      <c r="F353" s="14"/>
      <c r="G353" s="14"/>
      <c r="H353" s="14"/>
    </row>
    <row r="354" spans="1:8" x14ac:dyDescent="0.25">
      <c r="A354" s="14"/>
      <c r="B354" s="82"/>
      <c r="C354" s="82"/>
      <c r="D354" s="14"/>
      <c r="E354" s="14"/>
      <c r="F354" s="14"/>
      <c r="G354" s="14"/>
      <c r="H354" s="14"/>
    </row>
    <row r="355" spans="1:8" x14ac:dyDescent="0.25">
      <c r="A355" s="14"/>
      <c r="B355" s="82"/>
      <c r="C355" s="82"/>
      <c r="D355" s="14"/>
      <c r="E355" s="14"/>
      <c r="F355" s="14"/>
      <c r="G355" s="14"/>
      <c r="H355" s="14"/>
    </row>
    <row r="356" spans="1:8" x14ac:dyDescent="0.25">
      <c r="A356" s="14"/>
      <c r="B356" s="82"/>
      <c r="C356" s="82"/>
      <c r="D356" s="14"/>
      <c r="E356" s="14"/>
      <c r="F356" s="14"/>
      <c r="G356" s="14"/>
      <c r="H356" s="14"/>
    </row>
    <row r="357" spans="1:8" x14ac:dyDescent="0.25">
      <c r="A357" s="14"/>
      <c r="B357" s="82"/>
      <c r="C357" s="82"/>
      <c r="D357" s="14"/>
      <c r="E357" s="14"/>
      <c r="F357" s="14"/>
      <c r="G357" s="14"/>
      <c r="H357" s="14"/>
    </row>
    <row r="358" spans="1:8" x14ac:dyDescent="0.25">
      <c r="A358" s="14"/>
      <c r="B358" s="82"/>
      <c r="C358" s="82"/>
      <c r="D358" s="14"/>
      <c r="E358" s="14"/>
      <c r="F358" s="14"/>
      <c r="G358" s="14"/>
      <c r="H358" s="14"/>
    </row>
    <row r="359" spans="1:8" x14ac:dyDescent="0.25">
      <c r="A359" s="14"/>
      <c r="B359" s="82"/>
      <c r="C359" s="82"/>
      <c r="D359" s="14"/>
      <c r="E359" s="14"/>
      <c r="F359" s="14"/>
      <c r="G359" s="14"/>
      <c r="H359" s="14"/>
    </row>
    <row r="360" spans="1:8" x14ac:dyDescent="0.25">
      <c r="A360" s="14"/>
      <c r="B360" s="82"/>
      <c r="C360" s="82"/>
      <c r="D360" s="14"/>
      <c r="E360" s="14"/>
      <c r="F360" s="14"/>
      <c r="G360" s="14"/>
      <c r="H360" s="14"/>
    </row>
    <row r="361" spans="1:8" x14ac:dyDescent="0.25">
      <c r="A361" s="14"/>
      <c r="B361" s="82"/>
      <c r="C361" s="82"/>
      <c r="D361" s="14"/>
      <c r="E361" s="14"/>
      <c r="F361" s="14"/>
      <c r="G361" s="14"/>
      <c r="H361" s="14"/>
    </row>
    <row r="362" spans="1:8" x14ac:dyDescent="0.25">
      <c r="A362" s="14"/>
      <c r="B362" s="82"/>
      <c r="C362" s="82"/>
      <c r="D362" s="14"/>
      <c r="E362" s="14"/>
      <c r="F362" s="14"/>
      <c r="G362" s="14"/>
      <c r="H362" s="14"/>
    </row>
    <row r="363" spans="1:8" x14ac:dyDescent="0.25">
      <c r="A363" s="14"/>
      <c r="B363" s="82"/>
      <c r="C363" s="82"/>
      <c r="D363" s="14"/>
      <c r="E363" s="14"/>
      <c r="F363" s="14"/>
      <c r="G363" s="14"/>
      <c r="H363" s="14"/>
    </row>
    <row r="364" spans="1:8" x14ac:dyDescent="0.25">
      <c r="A364" s="14"/>
      <c r="B364" s="82"/>
      <c r="C364" s="82"/>
      <c r="D364" s="14"/>
      <c r="E364" s="14"/>
      <c r="F364" s="14"/>
      <c r="G364" s="14"/>
      <c r="H364" s="14"/>
    </row>
    <row r="365" spans="1:8" x14ac:dyDescent="0.25">
      <c r="A365" s="14"/>
      <c r="B365" s="82"/>
      <c r="C365" s="82"/>
      <c r="D365" s="14"/>
      <c r="E365" s="14"/>
      <c r="F365" s="14"/>
      <c r="G365" s="14"/>
      <c r="H365" s="14"/>
    </row>
    <row r="366" spans="1:8" x14ac:dyDescent="0.25">
      <c r="A366" s="14"/>
      <c r="B366" s="82"/>
      <c r="C366" s="82"/>
      <c r="D366" s="14"/>
      <c r="E366" s="14"/>
      <c r="F366" s="14"/>
      <c r="G366" s="14"/>
      <c r="H366" s="14"/>
    </row>
    <row r="367" spans="1:8" x14ac:dyDescent="0.25">
      <c r="A367" s="14"/>
      <c r="B367" s="82"/>
      <c r="C367" s="82"/>
      <c r="D367" s="14"/>
      <c r="E367" s="14"/>
      <c r="F367" s="14"/>
      <c r="G367" s="14"/>
      <c r="H367" s="14"/>
    </row>
    <row r="368" spans="1:8" x14ac:dyDescent="0.25">
      <c r="A368" s="14"/>
      <c r="B368" s="82"/>
      <c r="C368" s="82"/>
      <c r="D368" s="14"/>
      <c r="E368" s="14"/>
      <c r="F368" s="14"/>
      <c r="G368" s="14"/>
      <c r="H368" s="14"/>
    </row>
    <row r="369" spans="1:8" x14ac:dyDescent="0.25">
      <c r="A369" s="14"/>
      <c r="B369" s="82"/>
      <c r="C369" s="82"/>
      <c r="D369" s="14"/>
      <c r="E369" s="14"/>
      <c r="F369" s="14"/>
      <c r="G369" s="14"/>
      <c r="H369" s="14"/>
    </row>
    <row r="370" spans="1:8" x14ac:dyDescent="0.25">
      <c r="A370" s="14"/>
      <c r="B370" s="82"/>
      <c r="C370" s="82"/>
      <c r="D370" s="14"/>
      <c r="E370" s="14"/>
      <c r="F370" s="14"/>
      <c r="G370" s="14"/>
      <c r="H370" s="14"/>
    </row>
    <row r="371" spans="1:8" x14ac:dyDescent="0.25">
      <c r="A371" s="14"/>
      <c r="B371" s="82"/>
      <c r="C371" s="82"/>
      <c r="D371" s="14"/>
      <c r="E371" s="14"/>
      <c r="F371" s="14"/>
      <c r="G371" s="14"/>
      <c r="H371" s="14"/>
    </row>
    <row r="372" spans="1:8" x14ac:dyDescent="0.25">
      <c r="A372" s="14"/>
      <c r="B372" s="82"/>
      <c r="C372" s="82"/>
      <c r="D372" s="14"/>
      <c r="E372" s="14"/>
      <c r="F372" s="14"/>
      <c r="G372" s="14"/>
      <c r="H372" s="14"/>
    </row>
    <row r="373" spans="1:8" x14ac:dyDescent="0.25">
      <c r="A373" s="14"/>
      <c r="B373" s="82"/>
      <c r="C373" s="82"/>
      <c r="D373" s="14"/>
      <c r="E373" s="14"/>
      <c r="F373" s="14"/>
      <c r="G373" s="14"/>
      <c r="H373" s="14"/>
    </row>
    <row r="374" spans="1:8" x14ac:dyDescent="0.25">
      <c r="A374" s="14"/>
      <c r="B374" s="82"/>
      <c r="C374" s="82"/>
      <c r="D374" s="14"/>
      <c r="E374" s="14"/>
      <c r="F374" s="14"/>
      <c r="G374" s="14"/>
      <c r="H374" s="14"/>
    </row>
    <row r="375" spans="1:8" x14ac:dyDescent="0.25">
      <c r="A375" s="14"/>
      <c r="B375" s="82"/>
      <c r="C375" s="82"/>
      <c r="D375" s="14"/>
      <c r="E375" s="14"/>
      <c r="F375" s="14"/>
      <c r="G375" s="14"/>
      <c r="H375" s="14"/>
    </row>
    <row r="376" spans="1:8" x14ac:dyDescent="0.25">
      <c r="A376" s="14"/>
      <c r="B376" s="82"/>
      <c r="C376" s="82"/>
      <c r="D376" s="14"/>
      <c r="E376" s="14"/>
      <c r="F376" s="14"/>
      <c r="G376" s="14"/>
      <c r="H376" s="14"/>
    </row>
    <row r="377" spans="1:8" x14ac:dyDescent="0.25">
      <c r="A377" s="14"/>
      <c r="B377" s="82"/>
      <c r="C377" s="82"/>
      <c r="D377" s="14"/>
      <c r="E377" s="14"/>
      <c r="F377" s="14"/>
      <c r="G377" s="14"/>
      <c r="H377" s="14"/>
    </row>
    <row r="378" spans="1:8" x14ac:dyDescent="0.25">
      <c r="A378" s="14"/>
      <c r="B378" s="82"/>
      <c r="C378" s="82"/>
      <c r="D378" s="14"/>
      <c r="E378" s="14"/>
      <c r="F378" s="14"/>
      <c r="G378" s="14"/>
      <c r="H378" s="14"/>
    </row>
    <row r="379" spans="1:8" x14ac:dyDescent="0.25">
      <c r="A379" s="14"/>
      <c r="B379" s="82"/>
      <c r="C379" s="82"/>
      <c r="D379" s="14"/>
      <c r="E379" s="14"/>
      <c r="F379" s="14"/>
      <c r="G379" s="14"/>
      <c r="H379" s="14"/>
    </row>
    <row r="380" spans="1:8" x14ac:dyDescent="0.25">
      <c r="A380" s="14"/>
      <c r="B380" s="82"/>
      <c r="C380" s="82"/>
      <c r="D380" s="14"/>
      <c r="E380" s="14"/>
      <c r="F380" s="14"/>
      <c r="G380" s="14"/>
      <c r="H380" s="14"/>
    </row>
    <row r="381" spans="1:8" x14ac:dyDescent="0.25">
      <c r="A381" s="14"/>
      <c r="B381" s="82"/>
      <c r="C381" s="82"/>
      <c r="D381" s="14"/>
      <c r="E381" s="14"/>
      <c r="F381" s="14"/>
      <c r="G381" s="14"/>
      <c r="H381" s="14"/>
    </row>
    <row r="382" spans="1:8" x14ac:dyDescent="0.25">
      <c r="A382" s="14"/>
      <c r="B382" s="82"/>
      <c r="C382" s="82"/>
      <c r="D382" s="14"/>
      <c r="E382" s="14"/>
      <c r="F382" s="14"/>
      <c r="G382" s="14"/>
      <c r="H382" s="14"/>
    </row>
    <row r="383" spans="1:8" x14ac:dyDescent="0.25">
      <c r="A383" s="14"/>
      <c r="B383" s="82"/>
      <c r="C383" s="82"/>
      <c r="D383" s="14"/>
      <c r="E383" s="14"/>
      <c r="F383" s="14"/>
      <c r="G383" s="14"/>
      <c r="H383" s="14"/>
    </row>
    <row r="384" spans="1:8" x14ac:dyDescent="0.25">
      <c r="A384" s="14"/>
      <c r="B384" s="82"/>
      <c r="C384" s="82"/>
      <c r="D384" s="14"/>
      <c r="E384" s="14"/>
      <c r="F384" s="14"/>
      <c r="G384" s="14"/>
      <c r="H384" s="14"/>
    </row>
    <row r="385" spans="1:8" x14ac:dyDescent="0.25">
      <c r="A385" s="14"/>
      <c r="B385" s="82"/>
      <c r="C385" s="82"/>
      <c r="D385" s="14"/>
      <c r="E385" s="14"/>
      <c r="F385" s="14"/>
      <c r="G385" s="14"/>
      <c r="H385" s="14"/>
    </row>
    <row r="386" spans="1:8" x14ac:dyDescent="0.25">
      <c r="A386" s="14"/>
      <c r="B386" s="82"/>
      <c r="C386" s="82"/>
      <c r="D386" s="14"/>
      <c r="E386" s="14"/>
      <c r="F386" s="14"/>
      <c r="G386" s="14"/>
      <c r="H386" s="14"/>
    </row>
    <row r="387" spans="1:8" x14ac:dyDescent="0.25">
      <c r="A387" s="14"/>
      <c r="B387" s="82"/>
      <c r="C387" s="82"/>
      <c r="D387" s="14"/>
      <c r="E387" s="14"/>
      <c r="F387" s="14"/>
      <c r="G387" s="14"/>
      <c r="H387" s="14"/>
    </row>
    <row r="388" spans="1:8" x14ac:dyDescent="0.25">
      <c r="A388" s="14"/>
      <c r="B388" s="82"/>
      <c r="C388" s="82"/>
      <c r="D388" s="14"/>
      <c r="E388" s="14"/>
      <c r="F388" s="14"/>
      <c r="G388" s="14"/>
      <c r="H388" s="14"/>
    </row>
    <row r="389" spans="1:8" x14ac:dyDescent="0.25">
      <c r="A389" s="14"/>
      <c r="B389" s="82"/>
      <c r="C389" s="82"/>
      <c r="D389" s="14"/>
      <c r="E389" s="14"/>
      <c r="F389" s="14"/>
      <c r="G389" s="14"/>
      <c r="H389" s="14"/>
    </row>
    <row r="390" spans="1:8" x14ac:dyDescent="0.25">
      <c r="A390" s="14"/>
      <c r="B390" s="82"/>
      <c r="C390" s="82"/>
      <c r="D390" s="14"/>
      <c r="E390" s="14"/>
      <c r="F390" s="14"/>
      <c r="G390" s="14"/>
      <c r="H390" s="14"/>
    </row>
    <row r="391" spans="1:8" x14ac:dyDescent="0.25">
      <c r="A391" s="14"/>
      <c r="B391" s="82"/>
      <c r="C391" s="82"/>
      <c r="D391" s="14"/>
      <c r="E391" s="14"/>
      <c r="F391" s="14"/>
      <c r="G391" s="14"/>
      <c r="H391" s="14"/>
    </row>
    <row r="392" spans="1:8" x14ac:dyDescent="0.25">
      <c r="A392" s="14"/>
      <c r="B392" s="82"/>
      <c r="C392" s="82"/>
      <c r="D392" s="14"/>
      <c r="E392" s="14"/>
      <c r="F392" s="14"/>
    </row>
    <row r="393" spans="1:8" x14ac:dyDescent="0.25">
      <c r="A393" s="14"/>
      <c r="B393" s="82"/>
      <c r="C393" s="82"/>
      <c r="D393" s="14"/>
      <c r="E393" s="14"/>
      <c r="F393" s="14"/>
    </row>
    <row r="394" spans="1:8" x14ac:dyDescent="0.25">
      <c r="A394" s="14"/>
      <c r="B394" s="82"/>
      <c r="C394" s="82"/>
      <c r="D394" s="14"/>
      <c r="E394" s="14"/>
      <c r="F394" s="14"/>
    </row>
    <row r="395" spans="1:8" x14ac:dyDescent="0.25">
      <c r="A395" s="14"/>
      <c r="B395" s="82"/>
      <c r="C395" s="82"/>
      <c r="D395" s="14"/>
      <c r="E395" s="14"/>
      <c r="F395" s="14"/>
    </row>
    <row r="396" spans="1:8" x14ac:dyDescent="0.25">
      <c r="A396" s="14"/>
      <c r="B396" s="14"/>
      <c r="C396" s="82"/>
      <c r="D396" s="14"/>
      <c r="E396" s="14"/>
      <c r="F396" s="14"/>
    </row>
    <row r="397" spans="1:8" x14ac:dyDescent="0.25">
      <c r="A397" s="14"/>
      <c r="B397" s="14"/>
      <c r="C397" s="82"/>
      <c r="D397" s="14"/>
      <c r="E397" s="14"/>
      <c r="F397" s="14"/>
    </row>
    <row r="398" spans="1:8" x14ac:dyDescent="0.25">
      <c r="A398" s="14"/>
      <c r="B398" s="14"/>
      <c r="C398" s="82"/>
      <c r="D398" s="14"/>
      <c r="E398" s="14"/>
      <c r="F398" s="14"/>
    </row>
    <row r="399" spans="1:8" x14ac:dyDescent="0.25">
      <c r="A399" s="14"/>
      <c r="B399" s="14"/>
      <c r="C399" s="82"/>
      <c r="D399" s="14"/>
      <c r="E399" s="14"/>
      <c r="F399" s="14"/>
    </row>
    <row r="400" spans="1:8" x14ac:dyDescent="0.25">
      <c r="A400" s="14"/>
      <c r="B400" s="14"/>
      <c r="C400" s="82"/>
      <c r="D400" s="14"/>
      <c r="E400" s="14"/>
      <c r="F400" s="14"/>
    </row>
    <row r="401" spans="1:6" x14ac:dyDescent="0.25">
      <c r="A401" s="14"/>
      <c r="B401" s="14"/>
      <c r="C401" s="82"/>
      <c r="D401" s="14"/>
      <c r="E401" s="14"/>
      <c r="F401" s="14"/>
    </row>
    <row r="402" spans="1:6" x14ac:dyDescent="0.25">
      <c r="A402" s="14"/>
      <c r="B402" s="14"/>
      <c r="C402" s="82"/>
      <c r="D402" s="14"/>
      <c r="E402" s="14"/>
      <c r="F402" s="14"/>
    </row>
    <row r="403" spans="1:6" x14ac:dyDescent="0.25">
      <c r="A403" s="14"/>
      <c r="B403" s="14"/>
      <c r="C403" s="82"/>
      <c r="D403" s="14"/>
      <c r="E403" s="14"/>
      <c r="F403" s="14"/>
    </row>
    <row r="404" spans="1:6" x14ac:dyDescent="0.25">
      <c r="A404" s="14"/>
      <c r="B404" s="14"/>
      <c r="C404" s="82"/>
      <c r="D404" s="14"/>
      <c r="E404" s="14"/>
      <c r="F404" s="14"/>
    </row>
    <row r="405" spans="1:6" x14ac:dyDescent="0.25">
      <c r="A405" s="14"/>
      <c r="B405" s="14"/>
      <c r="C405" s="82"/>
      <c r="D405" s="14"/>
      <c r="E405" s="14"/>
      <c r="F405" s="14"/>
    </row>
    <row r="406" spans="1:6" x14ac:dyDescent="0.25">
      <c r="A406" s="14"/>
      <c r="B406" s="14"/>
      <c r="C406" s="82"/>
      <c r="D406" s="14"/>
      <c r="E406" s="14"/>
      <c r="F406" s="14"/>
    </row>
    <row r="407" spans="1:6" x14ac:dyDescent="0.25">
      <c r="A407" s="14"/>
      <c r="B407" s="14"/>
      <c r="C407" s="82"/>
      <c r="D407" s="14"/>
      <c r="E407" s="14"/>
      <c r="F407" s="14"/>
    </row>
    <row r="408" spans="1:6" x14ac:dyDescent="0.25">
      <c r="A408" s="14"/>
      <c r="B408" s="14"/>
      <c r="C408" s="82"/>
      <c r="D408" s="14"/>
      <c r="E408" s="14"/>
      <c r="F408" s="14"/>
    </row>
    <row r="409" spans="1:6" x14ac:dyDescent="0.25">
      <c r="A409" s="14"/>
      <c r="B409" s="14"/>
      <c r="C409" s="82"/>
      <c r="D409" s="14"/>
      <c r="E409" s="14"/>
      <c r="F409" s="14"/>
    </row>
    <row r="410" spans="1:6" x14ac:dyDescent="0.25">
      <c r="A410" s="14"/>
      <c r="B410" s="14"/>
      <c r="C410" s="82"/>
      <c r="D410" s="14"/>
      <c r="E410" s="14"/>
      <c r="F410" s="14"/>
    </row>
    <row r="411" spans="1:6" x14ac:dyDescent="0.25">
      <c r="A411" s="14"/>
      <c r="B411" s="14"/>
      <c r="C411" s="82"/>
      <c r="D411" s="14"/>
      <c r="E411" s="14"/>
      <c r="F411" s="14"/>
    </row>
    <row r="412" spans="1:6" x14ac:dyDescent="0.25">
      <c r="A412" s="14"/>
      <c r="B412" s="14"/>
      <c r="C412" s="82"/>
      <c r="D412" s="14"/>
      <c r="E412" s="14"/>
      <c r="F412" s="14"/>
    </row>
    <row r="413" spans="1:6" x14ac:dyDescent="0.25">
      <c r="A413" s="14"/>
      <c r="B413" s="14"/>
      <c r="C413" s="82"/>
      <c r="D413" s="14"/>
      <c r="E413" s="14"/>
      <c r="F413" s="14"/>
    </row>
    <row r="414" spans="1:6" x14ac:dyDescent="0.25">
      <c r="A414" s="14"/>
      <c r="B414" s="14"/>
      <c r="C414" s="82"/>
      <c r="D414" s="14"/>
      <c r="E414" s="14"/>
      <c r="F414" s="14"/>
    </row>
    <row r="415" spans="1:6" x14ac:dyDescent="0.25">
      <c r="A415" s="14"/>
      <c r="B415" s="14"/>
      <c r="C415" s="82"/>
      <c r="D415" s="14"/>
      <c r="E415" s="14"/>
      <c r="F415" s="14"/>
    </row>
    <row r="416" spans="1:6" x14ac:dyDescent="0.25">
      <c r="A416" s="14"/>
      <c r="B416" s="14"/>
      <c r="C416" s="82"/>
      <c r="D416" s="14"/>
      <c r="E416" s="14"/>
      <c r="F416" s="14"/>
    </row>
    <row r="417" spans="1:6" x14ac:dyDescent="0.25">
      <c r="A417" s="14"/>
      <c r="B417" s="14"/>
      <c r="C417" s="82"/>
      <c r="D417" s="14"/>
      <c r="E417" s="14"/>
      <c r="F417" s="14"/>
    </row>
    <row r="418" spans="1:6" x14ac:dyDescent="0.25">
      <c r="A418" s="14"/>
      <c r="B418" s="14"/>
      <c r="C418" s="82"/>
      <c r="D418" s="14"/>
      <c r="E418" s="14"/>
      <c r="F418" s="14"/>
    </row>
    <row r="419" spans="1:6" x14ac:dyDescent="0.25">
      <c r="A419" s="14"/>
      <c r="B419" s="14"/>
      <c r="C419" s="82"/>
      <c r="D419" s="14"/>
      <c r="E419" s="14"/>
      <c r="F419" s="14"/>
    </row>
    <row r="420" spans="1:6" x14ac:dyDescent="0.25">
      <c r="A420" s="14"/>
      <c r="B420" s="14"/>
      <c r="C420" s="82"/>
      <c r="D420" s="14"/>
      <c r="E420" s="14"/>
      <c r="F420" s="14"/>
    </row>
    <row r="421" spans="1:6" x14ac:dyDescent="0.25">
      <c r="A421" s="14"/>
      <c r="B421" s="14"/>
      <c r="C421" s="82"/>
      <c r="D421" s="14"/>
      <c r="E421" s="14"/>
      <c r="F421" s="14"/>
    </row>
    <row r="422" spans="1:6" x14ac:dyDescent="0.25">
      <c r="A422" s="14"/>
      <c r="B422" s="14"/>
      <c r="C422" s="82"/>
      <c r="D422" s="14"/>
      <c r="E422" s="14"/>
      <c r="F422" s="14"/>
    </row>
    <row r="423" spans="1:6" x14ac:dyDescent="0.25">
      <c r="A423" s="14"/>
      <c r="B423" s="14"/>
      <c r="C423" s="82"/>
      <c r="D423" s="14"/>
      <c r="E423" s="14"/>
      <c r="F423" s="14"/>
    </row>
    <row r="424" spans="1:6" x14ac:dyDescent="0.25">
      <c r="A424" s="14"/>
      <c r="B424" s="14"/>
      <c r="C424" s="82"/>
      <c r="D424" s="14"/>
      <c r="E424" s="14"/>
      <c r="F424" s="14"/>
    </row>
    <row r="425" spans="1:6" x14ac:dyDescent="0.25">
      <c r="A425" s="14"/>
      <c r="B425" s="14"/>
      <c r="C425" s="82"/>
      <c r="D425" s="14"/>
      <c r="E425" s="14"/>
      <c r="F425" s="14"/>
    </row>
    <row r="426" spans="1:6" x14ac:dyDescent="0.25">
      <c r="A426" s="14"/>
      <c r="B426" s="14"/>
      <c r="C426" s="82"/>
      <c r="D426" s="14"/>
      <c r="E426" s="14"/>
      <c r="F426" s="14"/>
    </row>
    <row r="427" spans="1:6" x14ac:dyDescent="0.25">
      <c r="A427" s="14"/>
      <c r="B427" s="14"/>
      <c r="C427" s="82"/>
      <c r="D427" s="14"/>
      <c r="E427" s="14"/>
      <c r="F427" s="14"/>
    </row>
    <row r="428" spans="1:6" x14ac:dyDescent="0.25">
      <c r="A428" s="14"/>
      <c r="B428" s="14"/>
      <c r="C428" s="82"/>
      <c r="D428" s="14"/>
      <c r="E428" s="14"/>
      <c r="F428" s="14"/>
    </row>
    <row r="429" spans="1:6" x14ac:dyDescent="0.25">
      <c r="A429" s="14"/>
      <c r="B429" s="14"/>
      <c r="C429" s="82"/>
      <c r="D429" s="14"/>
      <c r="E429" s="14"/>
      <c r="F429" s="14"/>
    </row>
    <row r="430" spans="1:6" x14ac:dyDescent="0.25">
      <c r="A430" s="14"/>
      <c r="B430" s="14"/>
      <c r="C430" s="82"/>
      <c r="D430" s="14"/>
      <c r="E430" s="14"/>
      <c r="F430" s="14"/>
    </row>
    <row r="431" spans="1:6" x14ac:dyDescent="0.25">
      <c r="A431" s="14"/>
      <c r="B431" s="14"/>
      <c r="C431" s="82"/>
      <c r="D431" s="14"/>
      <c r="E431" s="14"/>
      <c r="F431" s="14"/>
    </row>
    <row r="432" spans="1:6" x14ac:dyDescent="0.25">
      <c r="A432" s="14"/>
      <c r="B432" s="14"/>
      <c r="C432" s="82"/>
      <c r="D432" s="14"/>
      <c r="E432" s="14"/>
      <c r="F432" s="14"/>
    </row>
    <row r="433" spans="1:6" x14ac:dyDescent="0.25">
      <c r="A433" s="14"/>
      <c r="B433" s="14"/>
      <c r="C433" s="82"/>
      <c r="D433" s="14"/>
      <c r="E433" s="14"/>
      <c r="F433" s="14"/>
    </row>
    <row r="434" spans="1:6" x14ac:dyDescent="0.25">
      <c r="A434" s="14"/>
      <c r="B434" s="14"/>
      <c r="C434" s="82"/>
      <c r="D434" s="14"/>
      <c r="E434" s="14"/>
      <c r="F434" s="14"/>
    </row>
    <row r="435" spans="1:6" x14ac:dyDescent="0.25">
      <c r="A435" s="14"/>
      <c r="B435" s="14"/>
      <c r="C435" s="82"/>
      <c r="D435" s="14"/>
      <c r="E435" s="14"/>
      <c r="F435" s="14"/>
    </row>
    <row r="436" spans="1:6" x14ac:dyDescent="0.25">
      <c r="A436" s="14"/>
      <c r="B436" s="14"/>
      <c r="C436" s="82"/>
      <c r="D436" s="14"/>
      <c r="E436" s="14"/>
      <c r="F436" s="14"/>
    </row>
    <row r="437" spans="1:6" x14ac:dyDescent="0.25">
      <c r="A437" s="14"/>
      <c r="B437" s="14"/>
      <c r="C437" s="82"/>
      <c r="D437" s="14"/>
      <c r="E437" s="14"/>
      <c r="F437" s="14"/>
    </row>
    <row r="438" spans="1:6" x14ac:dyDescent="0.25">
      <c r="A438" s="14"/>
      <c r="B438" s="14"/>
      <c r="C438" s="82"/>
      <c r="D438" s="14"/>
      <c r="E438" s="14"/>
      <c r="F438" s="14"/>
    </row>
    <row r="439" spans="1:6" x14ac:dyDescent="0.25">
      <c r="A439" s="14"/>
      <c r="B439" s="14"/>
      <c r="C439" s="82"/>
      <c r="D439" s="14"/>
      <c r="E439" s="14"/>
      <c r="F439" s="14"/>
    </row>
    <row r="440" spans="1:6" x14ac:dyDescent="0.25">
      <c r="A440" s="14"/>
      <c r="B440" s="14"/>
      <c r="C440" s="82"/>
      <c r="D440" s="14"/>
      <c r="E440" s="14"/>
      <c r="F440" s="14"/>
    </row>
    <row r="441" spans="1:6" x14ac:dyDescent="0.25">
      <c r="A441" s="14"/>
      <c r="B441" s="14"/>
      <c r="C441" s="82"/>
      <c r="D441" s="14"/>
      <c r="E441" s="14"/>
      <c r="F441" s="14"/>
    </row>
    <row r="442" spans="1:6" x14ac:dyDescent="0.25">
      <c r="A442" s="14"/>
      <c r="B442" s="14"/>
      <c r="C442" s="82"/>
      <c r="D442" s="14"/>
      <c r="E442" s="14"/>
      <c r="F442" s="14"/>
    </row>
    <row r="443" spans="1:6" x14ac:dyDescent="0.25">
      <c r="A443" s="14"/>
      <c r="B443" s="14"/>
      <c r="C443" s="82"/>
      <c r="D443" s="14"/>
      <c r="E443" s="14"/>
      <c r="F443" s="14"/>
    </row>
    <row r="444" spans="1:6" x14ac:dyDescent="0.25">
      <c r="A444" s="14"/>
      <c r="B444" s="14"/>
      <c r="C444" s="82"/>
      <c r="D444" s="14"/>
      <c r="E444" s="14"/>
      <c r="F444" s="14"/>
    </row>
    <row r="445" spans="1:6" x14ac:dyDescent="0.25">
      <c r="A445" s="14"/>
      <c r="B445" s="14"/>
      <c r="C445" s="82"/>
      <c r="D445" s="14"/>
      <c r="E445" s="14"/>
      <c r="F445" s="14"/>
    </row>
    <row r="446" spans="1:6" x14ac:dyDescent="0.25">
      <c r="A446" s="14"/>
      <c r="B446" s="14"/>
      <c r="C446" s="82"/>
      <c r="D446" s="14"/>
      <c r="E446" s="14"/>
      <c r="F446" s="14"/>
    </row>
    <row r="447" spans="1:6" x14ac:dyDescent="0.25">
      <c r="A447" s="14"/>
      <c r="B447" s="14"/>
      <c r="C447" s="82"/>
      <c r="D447" s="14"/>
      <c r="E447" s="14"/>
      <c r="F447" s="14"/>
    </row>
    <row r="448" spans="1:6" x14ac:dyDescent="0.25">
      <c r="A448" s="14"/>
      <c r="B448" s="14"/>
      <c r="C448" s="82"/>
      <c r="D448" s="14"/>
      <c r="E448" s="14"/>
      <c r="F448" s="14"/>
    </row>
    <row r="449" spans="1:6" x14ac:dyDescent="0.25">
      <c r="A449" s="14"/>
      <c r="B449" s="14"/>
      <c r="C449" s="82"/>
      <c r="D449" s="14"/>
      <c r="E449" s="14"/>
      <c r="F449" s="14"/>
    </row>
    <row r="450" spans="1:6" x14ac:dyDescent="0.25">
      <c r="A450" s="14"/>
      <c r="B450" s="14"/>
      <c r="C450" s="82"/>
      <c r="D450" s="14"/>
      <c r="E450" s="14"/>
      <c r="F450" s="14"/>
    </row>
    <row r="451" spans="1:6" x14ac:dyDescent="0.25">
      <c r="A451" s="14"/>
      <c r="B451" s="14"/>
      <c r="C451" s="82"/>
      <c r="D451" s="14"/>
      <c r="E451" s="14"/>
      <c r="F451" s="14"/>
    </row>
    <row r="452" spans="1:6" x14ac:dyDescent="0.25">
      <c r="A452" s="14"/>
      <c r="B452" s="14"/>
      <c r="C452" s="82"/>
      <c r="D452" s="14"/>
      <c r="E452" s="14"/>
      <c r="F452" s="14"/>
    </row>
    <row r="453" spans="1:6" x14ac:dyDescent="0.25">
      <c r="A453" s="14"/>
      <c r="B453" s="14"/>
      <c r="C453" s="82"/>
      <c r="D453" s="14"/>
      <c r="E453" s="14"/>
      <c r="F453" s="14"/>
    </row>
    <row r="454" spans="1:6" x14ac:dyDescent="0.25">
      <c r="A454" s="14"/>
      <c r="B454" s="14"/>
      <c r="C454" s="82"/>
      <c r="D454" s="14"/>
      <c r="E454" s="14"/>
      <c r="F454" s="14"/>
    </row>
    <row r="455" spans="1:6" x14ac:dyDescent="0.25">
      <c r="A455" s="14"/>
      <c r="B455" s="14"/>
      <c r="C455" s="82"/>
      <c r="D455" s="14"/>
      <c r="E455" s="14"/>
      <c r="F455" s="14"/>
    </row>
    <row r="456" spans="1:6" x14ac:dyDescent="0.25">
      <c r="A456" s="14"/>
      <c r="B456" s="14"/>
      <c r="C456" s="82"/>
      <c r="D456" s="14"/>
      <c r="E456" s="14"/>
      <c r="F456" s="14"/>
    </row>
    <row r="457" spans="1:6" x14ac:dyDescent="0.25">
      <c r="A457" s="14"/>
      <c r="B457" s="14"/>
      <c r="C457" s="82"/>
      <c r="D457" s="14"/>
      <c r="E457" s="14"/>
      <c r="F457" s="14"/>
    </row>
    <row r="458" spans="1:6" x14ac:dyDescent="0.25">
      <c r="A458" s="14"/>
      <c r="B458" s="14"/>
      <c r="C458" s="82"/>
      <c r="D458" s="14"/>
      <c r="E458" s="14"/>
      <c r="F458" s="14"/>
    </row>
    <row r="459" spans="1:6" x14ac:dyDescent="0.25">
      <c r="A459" s="14"/>
      <c r="B459" s="14"/>
      <c r="C459" s="82"/>
      <c r="D459" s="14"/>
      <c r="E459" s="14"/>
      <c r="F459" s="14"/>
    </row>
    <row r="460" spans="1:6" x14ac:dyDescent="0.25">
      <c r="A460" s="14"/>
      <c r="B460" s="14"/>
      <c r="C460" s="82"/>
      <c r="D460" s="14"/>
      <c r="E460" s="14"/>
      <c r="F460" s="14"/>
    </row>
    <row r="461" spans="1:6" x14ac:dyDescent="0.25">
      <c r="A461" s="14"/>
      <c r="B461" s="14"/>
      <c r="C461" s="82"/>
      <c r="D461" s="14"/>
      <c r="E461" s="14"/>
      <c r="F461" s="14"/>
    </row>
    <row r="462" spans="1:6" x14ac:dyDescent="0.25">
      <c r="A462" s="14"/>
      <c r="B462" s="14"/>
      <c r="C462" s="82"/>
      <c r="D462" s="14"/>
      <c r="E462" s="14"/>
      <c r="F462" s="14"/>
    </row>
    <row r="463" spans="1:6" x14ac:dyDescent="0.25">
      <c r="A463" s="14"/>
      <c r="B463" s="14"/>
      <c r="C463" s="82"/>
      <c r="D463" s="14"/>
      <c r="E463" s="14"/>
      <c r="F463" s="14"/>
    </row>
    <row r="464" spans="1:6" x14ac:dyDescent="0.25">
      <c r="A464" s="14"/>
      <c r="B464" s="14"/>
      <c r="C464" s="82"/>
      <c r="D464" s="14"/>
      <c r="E464" s="14"/>
      <c r="F464" s="14"/>
    </row>
    <row r="465" spans="1:6" x14ac:dyDescent="0.25">
      <c r="A465" s="14"/>
      <c r="B465" s="14"/>
      <c r="C465" s="82"/>
      <c r="D465" s="14"/>
      <c r="E465" s="14"/>
      <c r="F465" s="14"/>
    </row>
    <row r="466" spans="1:6" x14ac:dyDescent="0.25">
      <c r="A466" s="14"/>
      <c r="B466" s="14"/>
      <c r="C466" s="82"/>
      <c r="D466" s="14"/>
      <c r="E466" s="14"/>
      <c r="F466" s="14"/>
    </row>
    <row r="467" spans="1:6" x14ac:dyDescent="0.25">
      <c r="A467" s="14"/>
      <c r="B467" s="14"/>
      <c r="C467" s="82"/>
      <c r="D467" s="14"/>
      <c r="E467" s="14"/>
      <c r="F467" s="14"/>
    </row>
    <row r="468" spans="1:6" x14ac:dyDescent="0.25">
      <c r="A468" s="14"/>
      <c r="B468" s="14"/>
      <c r="C468" s="82"/>
      <c r="D468" s="14"/>
      <c r="E468" s="14"/>
      <c r="F468" s="14"/>
    </row>
    <row r="469" spans="1:6" x14ac:dyDescent="0.25">
      <c r="A469" s="14"/>
      <c r="B469" s="14"/>
      <c r="C469" s="82"/>
      <c r="D469" s="14"/>
      <c r="E469" s="14"/>
      <c r="F469" s="14"/>
    </row>
    <row r="470" spans="1:6" x14ac:dyDescent="0.25">
      <c r="A470" s="14"/>
      <c r="B470" s="14"/>
      <c r="C470" s="82"/>
      <c r="D470" s="14"/>
      <c r="E470" s="14"/>
      <c r="F470" s="14"/>
    </row>
    <row r="471" spans="1:6" x14ac:dyDescent="0.25">
      <c r="A471" s="14"/>
      <c r="B471" s="14"/>
      <c r="C471" s="82"/>
      <c r="D471" s="14"/>
      <c r="E471" s="14"/>
      <c r="F471" s="14"/>
    </row>
    <row r="472" spans="1:6" x14ac:dyDescent="0.25">
      <c r="A472" s="14"/>
      <c r="B472" s="14"/>
      <c r="C472" s="82"/>
      <c r="D472" s="14"/>
      <c r="E472" s="14"/>
      <c r="F472" s="14"/>
    </row>
    <row r="473" spans="1:6" x14ac:dyDescent="0.25">
      <c r="A473" s="14"/>
      <c r="B473" s="14"/>
      <c r="C473" s="82"/>
      <c r="D473" s="14"/>
      <c r="E473" s="14"/>
      <c r="F473" s="14"/>
    </row>
    <row r="474" spans="1:6" x14ac:dyDescent="0.25">
      <c r="A474" s="14"/>
      <c r="B474" s="14"/>
      <c r="C474" s="82"/>
      <c r="D474" s="14"/>
      <c r="E474" s="14"/>
      <c r="F474" s="14"/>
    </row>
    <row r="475" spans="1:6" x14ac:dyDescent="0.25">
      <c r="A475" s="14"/>
      <c r="B475" s="14"/>
      <c r="C475" s="82"/>
      <c r="D475" s="14"/>
      <c r="E475" s="14"/>
      <c r="F475" s="14"/>
    </row>
    <row r="476" spans="1:6" x14ac:dyDescent="0.25">
      <c r="A476" s="14"/>
      <c r="B476" s="14"/>
      <c r="C476" s="82"/>
      <c r="D476" s="14"/>
      <c r="E476" s="14"/>
      <c r="F476" s="14"/>
    </row>
    <row r="477" spans="1:6" x14ac:dyDescent="0.25">
      <c r="A477" s="14"/>
      <c r="B477" s="14"/>
      <c r="C477" s="82"/>
      <c r="D477" s="14"/>
      <c r="E477" s="14"/>
      <c r="F477" s="14"/>
    </row>
    <row r="478" spans="1:6" x14ac:dyDescent="0.25">
      <c r="A478" s="14"/>
      <c r="B478" s="14"/>
      <c r="C478" s="82"/>
      <c r="D478" s="14"/>
      <c r="E478" s="14"/>
      <c r="F478" s="14"/>
    </row>
    <row r="479" spans="1:6" x14ac:dyDescent="0.25">
      <c r="A479" s="14"/>
      <c r="B479" s="14"/>
      <c r="C479" s="82"/>
      <c r="D479" s="14"/>
      <c r="E479" s="14"/>
      <c r="F479" s="14"/>
    </row>
    <row r="480" spans="1:6" x14ac:dyDescent="0.25">
      <c r="A480" s="14"/>
      <c r="B480" s="14"/>
      <c r="C480" s="82"/>
      <c r="D480" s="14"/>
      <c r="E480" s="14"/>
      <c r="F480" s="14"/>
    </row>
    <row r="481" spans="1:6" x14ac:dyDescent="0.25">
      <c r="A481" s="14"/>
      <c r="B481" s="14"/>
      <c r="C481" s="82"/>
      <c r="D481" s="14"/>
      <c r="E481" s="14"/>
      <c r="F481" s="14"/>
    </row>
    <row r="482" spans="1:6" x14ac:dyDescent="0.25">
      <c r="A482" s="14"/>
      <c r="B482" s="14"/>
      <c r="C482" s="82"/>
      <c r="D482" s="14"/>
      <c r="E482" s="14"/>
      <c r="F482" s="14"/>
    </row>
    <row r="483" spans="1:6" x14ac:dyDescent="0.25">
      <c r="A483" s="14"/>
      <c r="B483" s="14"/>
      <c r="C483" s="82"/>
      <c r="D483" s="14"/>
      <c r="E483" s="14"/>
      <c r="F483" s="14"/>
    </row>
    <row r="484" spans="1:6" x14ac:dyDescent="0.25">
      <c r="A484" s="14"/>
      <c r="B484" s="14"/>
      <c r="C484" s="82"/>
      <c r="D484" s="14"/>
      <c r="E484" s="14"/>
      <c r="F484" s="14"/>
    </row>
    <row r="485" spans="1:6" x14ac:dyDescent="0.25">
      <c r="A485" s="14"/>
      <c r="B485" s="14"/>
      <c r="C485" s="82"/>
      <c r="D485" s="14"/>
      <c r="E485" s="14"/>
      <c r="F485" s="14"/>
    </row>
    <row r="486" spans="1:6" x14ac:dyDescent="0.25">
      <c r="A486" s="14"/>
      <c r="B486" s="14"/>
      <c r="C486" s="82"/>
      <c r="D486" s="14"/>
      <c r="E486" s="14"/>
      <c r="F486" s="14"/>
    </row>
    <row r="487" spans="1:6" x14ac:dyDescent="0.25">
      <c r="A487" s="14"/>
      <c r="B487" s="14"/>
      <c r="C487" s="82"/>
      <c r="D487" s="14"/>
      <c r="E487" s="14"/>
      <c r="F487" s="14"/>
    </row>
    <row r="488" spans="1:6" x14ac:dyDescent="0.25">
      <c r="A488" s="14"/>
      <c r="B488" s="14"/>
      <c r="C488" s="82"/>
      <c r="D488" s="14"/>
      <c r="E488" s="14"/>
      <c r="F488" s="14"/>
    </row>
    <row r="489" spans="1:6" x14ac:dyDescent="0.25">
      <c r="A489" s="14"/>
      <c r="B489" s="14"/>
      <c r="C489" s="82"/>
      <c r="D489" s="14"/>
      <c r="E489" s="14"/>
      <c r="F489" s="14"/>
    </row>
    <row r="490" spans="1:6" x14ac:dyDescent="0.25">
      <c r="A490" s="14"/>
      <c r="B490" s="14"/>
      <c r="C490" s="82"/>
      <c r="D490" s="14"/>
      <c r="E490" s="14"/>
      <c r="F490" s="14"/>
    </row>
    <row r="491" spans="1:6" x14ac:dyDescent="0.25">
      <c r="A491" s="14"/>
      <c r="B491" s="14"/>
      <c r="C491" s="82"/>
      <c r="D491" s="14"/>
      <c r="E491" s="14"/>
      <c r="F491" s="14"/>
    </row>
    <row r="492" spans="1:6" x14ac:dyDescent="0.25">
      <c r="A492" s="14"/>
      <c r="B492" s="14"/>
      <c r="C492" s="82"/>
      <c r="D492" s="14"/>
      <c r="E492" s="14"/>
      <c r="F492" s="14"/>
    </row>
    <row r="493" spans="1:6" x14ac:dyDescent="0.25">
      <c r="A493" s="14"/>
      <c r="B493" s="14"/>
      <c r="C493" s="82"/>
      <c r="D493" s="14"/>
      <c r="E493" s="14"/>
      <c r="F493" s="14"/>
    </row>
    <row r="494" spans="1:6" x14ac:dyDescent="0.25">
      <c r="A494" s="14"/>
      <c r="B494" s="14"/>
      <c r="C494" s="82"/>
      <c r="D494" s="14"/>
      <c r="E494" s="14"/>
      <c r="F494" s="14"/>
    </row>
  </sheetData>
  <mergeCells count="125">
    <mergeCell ref="A1:U1"/>
    <mergeCell ref="A2:U2"/>
    <mergeCell ref="A3:U3"/>
    <mergeCell ref="F134:U134"/>
    <mergeCell ref="F135:U135"/>
    <mergeCell ref="F136:U136"/>
    <mergeCell ref="F137:U137"/>
    <mergeCell ref="F132:U132"/>
    <mergeCell ref="F133:U133"/>
    <mergeCell ref="F122:U122"/>
    <mergeCell ref="F123:U123"/>
    <mergeCell ref="F124:U124"/>
    <mergeCell ref="F125:U125"/>
    <mergeCell ref="F113:U113"/>
    <mergeCell ref="F112:U112"/>
    <mergeCell ref="F111:U111"/>
    <mergeCell ref="F110:U110"/>
    <mergeCell ref="F108:U108"/>
    <mergeCell ref="F107:U107"/>
    <mergeCell ref="F100:U100"/>
    <mergeCell ref="F101:U101"/>
    <mergeCell ref="F102:U102"/>
    <mergeCell ref="F103:U103"/>
    <mergeCell ref="F104:U104"/>
    <mergeCell ref="F197:U197"/>
    <mergeCell ref="F192:U192"/>
    <mergeCell ref="F193:U193"/>
    <mergeCell ref="F182:U182"/>
    <mergeCell ref="F183:U183"/>
    <mergeCell ref="F184:U184"/>
    <mergeCell ref="F185:U185"/>
    <mergeCell ref="F180:U180"/>
    <mergeCell ref="F181:U181"/>
    <mergeCell ref="F194:U194"/>
    <mergeCell ref="F195:U195"/>
    <mergeCell ref="F196:U196"/>
    <mergeCell ref="F172:U172"/>
    <mergeCell ref="F173:U173"/>
    <mergeCell ref="F168:U168"/>
    <mergeCell ref="F169:U169"/>
    <mergeCell ref="F158:U158"/>
    <mergeCell ref="F159:U159"/>
    <mergeCell ref="F160:U160"/>
    <mergeCell ref="F161:U161"/>
    <mergeCell ref="F166:U166"/>
    <mergeCell ref="F167:U167"/>
    <mergeCell ref="F164:U164"/>
    <mergeCell ref="F165:U165"/>
    <mergeCell ref="F138:U138"/>
    <mergeCell ref="F139:U139"/>
    <mergeCell ref="F140:U140"/>
    <mergeCell ref="F141:U141"/>
    <mergeCell ref="F142:U142"/>
    <mergeCell ref="F143:U143"/>
    <mergeCell ref="F149:U149"/>
    <mergeCell ref="F170:U170"/>
    <mergeCell ref="F171:U171"/>
    <mergeCell ref="F156:U156"/>
    <mergeCell ref="F157:U157"/>
    <mergeCell ref="F146:U146"/>
    <mergeCell ref="F147:U147"/>
    <mergeCell ref="F148:U148"/>
    <mergeCell ref="F105:U105"/>
    <mergeCell ref="F106:U106"/>
    <mergeCell ref="F150:U150"/>
    <mergeCell ref="F151:U151"/>
    <mergeCell ref="F152:U152"/>
    <mergeCell ref="F153:U153"/>
    <mergeCell ref="F154:U154"/>
    <mergeCell ref="F155:U155"/>
    <mergeCell ref="F126:U126"/>
    <mergeCell ref="F127:U127"/>
    <mergeCell ref="F128:U128"/>
    <mergeCell ref="F129:U129"/>
    <mergeCell ref="F130:U130"/>
    <mergeCell ref="F131:U131"/>
    <mergeCell ref="F114:U114"/>
    <mergeCell ref="F115:U115"/>
    <mergeCell ref="F116:U116"/>
    <mergeCell ref="F117:U117"/>
    <mergeCell ref="F118:U118"/>
    <mergeCell ref="F119:U119"/>
    <mergeCell ref="F120:U120"/>
    <mergeCell ref="F121:U121"/>
    <mergeCell ref="F144:U144"/>
    <mergeCell ref="F145:U145"/>
    <mergeCell ref="A81:U81"/>
    <mergeCell ref="F109:U109"/>
    <mergeCell ref="F198:U198"/>
    <mergeCell ref="F199:U199"/>
    <mergeCell ref="F200:U200"/>
    <mergeCell ref="F201:U201"/>
    <mergeCell ref="F202:U202"/>
    <mergeCell ref="A82:U82"/>
    <mergeCell ref="F186:U186"/>
    <mergeCell ref="F187:U187"/>
    <mergeCell ref="F188:U188"/>
    <mergeCell ref="F189:U189"/>
    <mergeCell ref="F190:U190"/>
    <mergeCell ref="F191:U191"/>
    <mergeCell ref="F174:U174"/>
    <mergeCell ref="F175:U175"/>
    <mergeCell ref="F176:U176"/>
    <mergeCell ref="F177:U177"/>
    <mergeCell ref="F178:U178"/>
    <mergeCell ref="F179:U179"/>
    <mergeCell ref="F162:U162"/>
    <mergeCell ref="F163:U163"/>
    <mergeCell ref="F87:U87"/>
    <mergeCell ref="F86:U86"/>
    <mergeCell ref="F85:U85"/>
    <mergeCell ref="F84:U84"/>
    <mergeCell ref="F83:U83"/>
    <mergeCell ref="F99:U99"/>
    <mergeCell ref="F98:U98"/>
    <mergeCell ref="F97:U97"/>
    <mergeCell ref="F96:U96"/>
    <mergeCell ref="F95:U95"/>
    <mergeCell ref="F91:U91"/>
    <mergeCell ref="F90:U90"/>
    <mergeCell ref="F89:U89"/>
    <mergeCell ref="F88:U88"/>
    <mergeCell ref="F92:U92"/>
    <mergeCell ref="F93:U93"/>
    <mergeCell ref="F94:U94"/>
  </mergeCells>
  <pageMargins left="0.7" right="0.7" top="0.75" bottom="0.75" header="0.3" footer="0.3"/>
  <pageSetup orientation="portrait" horizontalDpi="4294967293"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xr:uid="{C88B2CE2-7305-49BF-BF6B-A02F99590656}">
          <x14:formula1>
            <xm:f>Settings!$E$29:$E$68</xm:f>
          </x14:formula1>
          <xm:sqref>C84:C158</xm:sqref>
        </x14:dataValidation>
        <x14:dataValidation type="list" allowBlank="1" showInputMessage="1" showErrorMessage="1" xr:uid="{12A4644D-52C4-4C7F-9672-FAC5EC5A7CDF}">
          <x14:formula1>
            <xm:f>Settings!$A$27:$B$27</xm:f>
          </x14:formula1>
          <xm:sqref>B84:B158</xm:sqref>
        </x14:dataValidation>
        <x14:dataValidation type="list" allowBlank="1" showInputMessage="1" showErrorMessage="1" xr:uid="{5EB028A2-1E83-4D13-BD01-2668EF2CA030}">
          <x14:formula1>
            <xm:f>Settings!$F$29:$F$33</xm:f>
          </x14:formula1>
          <xm:sqref>E5:E79</xm:sqref>
        </x14:dataValidation>
        <x14:dataValidation type="list" allowBlank="1" showInputMessage="1" showErrorMessage="1" xr:uid="{A61A1524-2C7A-44B0-8F7F-DF03E060EC10}">
          <x14:formula1>
            <xm:f>Settings!$C$29:$C$103</xm:f>
          </x14:formula1>
          <xm:sqref>A5:A81</xm:sqref>
        </x14:dataValidation>
        <x14:dataValidation type="list" allowBlank="1" showInputMessage="1" showErrorMessage="1" xr:uid="{9D92BFE4-2555-4C03-A78E-68C5DE3BDBD5}">
          <x14:formula1>
            <xm:f>Settings!$C$29:$C$128</xm:f>
          </x14:formula1>
          <xm:sqref>A84:A152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C40A2-4B67-4F72-8D3B-68447B73E148}">
  <dimension ref="A1:S103"/>
  <sheetViews>
    <sheetView topLeftCell="A5" workbookViewId="0">
      <selection activeCell="F19" sqref="A19:F19"/>
    </sheetView>
  </sheetViews>
  <sheetFormatPr defaultRowHeight="15" x14ac:dyDescent="0.25"/>
  <cols>
    <col min="1" max="9" width="17.140625" customWidth="1"/>
    <col min="11" max="11" width="11.7109375" customWidth="1"/>
  </cols>
  <sheetData>
    <row r="1" spans="1:16" ht="24" x14ac:dyDescent="0.25">
      <c r="A1" s="98" t="s">
        <v>151</v>
      </c>
      <c r="B1" s="98"/>
      <c r="C1" s="98"/>
      <c r="D1" s="98"/>
      <c r="E1" s="98"/>
      <c r="F1" s="98"/>
      <c r="G1" s="98"/>
      <c r="H1" s="98"/>
      <c r="I1" s="98"/>
    </row>
    <row r="2" spans="1:16" ht="19.5" x14ac:dyDescent="0.25">
      <c r="A2" s="99" t="s">
        <v>144</v>
      </c>
      <c r="B2" s="99"/>
      <c r="C2" s="99"/>
      <c r="D2" s="99"/>
      <c r="E2" s="99"/>
      <c r="F2" s="99"/>
      <c r="G2" s="99"/>
      <c r="H2" s="99"/>
      <c r="I2" s="99"/>
    </row>
    <row r="3" spans="1:16" ht="17.25" x14ac:dyDescent="0.25">
      <c r="A3" s="154" t="s">
        <v>145</v>
      </c>
      <c r="B3" s="154"/>
      <c r="C3" s="154"/>
      <c r="D3" s="154"/>
      <c r="E3" s="154"/>
      <c r="F3" s="154"/>
      <c r="G3" s="154"/>
      <c r="H3" s="154"/>
      <c r="I3" s="154"/>
    </row>
    <row r="4" spans="1:16" ht="15.75" thickBot="1" x14ac:dyDescent="0.3">
      <c r="A4" s="168" t="s">
        <v>160</v>
      </c>
      <c r="B4" s="168"/>
      <c r="C4" s="168"/>
      <c r="D4" s="168"/>
      <c r="E4" s="168"/>
      <c r="F4" s="168"/>
      <c r="G4" s="168"/>
      <c r="H4" s="168"/>
      <c r="I4" s="168"/>
    </row>
    <row r="5" spans="1:16" x14ac:dyDescent="0.25">
      <c r="A5" s="11" t="s">
        <v>293</v>
      </c>
      <c r="B5" s="11" t="s">
        <v>161</v>
      </c>
      <c r="C5" s="11" t="s">
        <v>1347</v>
      </c>
      <c r="D5" s="11" t="s">
        <v>162</v>
      </c>
      <c r="E5" s="11" t="s">
        <v>163</v>
      </c>
      <c r="F5" s="11" t="s">
        <v>164</v>
      </c>
      <c r="G5" s="11" t="s">
        <v>165</v>
      </c>
      <c r="H5" s="11" t="s">
        <v>166</v>
      </c>
    </row>
    <row r="6" spans="1:16" ht="15.75" thickBot="1" x14ac:dyDescent="0.3">
      <c r="A6" s="168" t="s">
        <v>147</v>
      </c>
      <c r="B6" s="168"/>
      <c r="C6" s="168"/>
      <c r="D6" s="168"/>
      <c r="E6" s="168"/>
      <c r="F6" s="168"/>
      <c r="G6" s="168"/>
      <c r="H6" s="168"/>
      <c r="I6" s="168"/>
    </row>
    <row r="7" spans="1:16" x14ac:dyDescent="0.25">
      <c r="A7" s="11" t="s">
        <v>0</v>
      </c>
      <c r="B7" s="11" t="s">
        <v>157</v>
      </c>
      <c r="C7" s="11" t="s">
        <v>192</v>
      </c>
      <c r="D7" s="11" t="s">
        <v>144</v>
      </c>
      <c r="E7" s="11"/>
      <c r="F7" s="11"/>
      <c r="G7" s="11"/>
      <c r="H7" s="11"/>
    </row>
    <row r="8" spans="1:16" ht="15.75" thickBot="1" x14ac:dyDescent="0.3">
      <c r="A8" s="168" t="s">
        <v>193</v>
      </c>
      <c r="B8" s="168"/>
      <c r="C8" s="168"/>
      <c r="D8" s="168"/>
      <c r="E8" s="168"/>
      <c r="F8" s="168"/>
      <c r="G8" s="168"/>
      <c r="H8" s="168"/>
      <c r="I8" s="168"/>
      <c r="J8" s="168"/>
      <c r="K8" s="168"/>
      <c r="L8" s="168"/>
      <c r="M8" s="168"/>
    </row>
    <row r="9" spans="1:16" x14ac:dyDescent="0.25">
      <c r="A9" s="11" t="s">
        <v>195</v>
      </c>
      <c r="B9" s="11" t="s">
        <v>196</v>
      </c>
      <c r="C9" s="11" t="s">
        <v>6</v>
      </c>
      <c r="D9" s="11" t="s">
        <v>171</v>
      </c>
      <c r="E9" s="11" t="s">
        <v>172</v>
      </c>
      <c r="F9" s="11" t="s">
        <v>1301</v>
      </c>
      <c r="G9" s="11" t="s">
        <v>197</v>
      </c>
      <c r="H9" s="11" t="s">
        <v>198</v>
      </c>
      <c r="I9" s="11" t="s">
        <v>224</v>
      </c>
      <c r="J9" s="16" t="s">
        <v>233</v>
      </c>
      <c r="K9" s="16" t="s">
        <v>234</v>
      </c>
      <c r="L9" s="16" t="s">
        <v>280</v>
      </c>
      <c r="M9" s="16" t="s">
        <v>281</v>
      </c>
    </row>
    <row r="10" spans="1:16" ht="15.75" thickBot="1" x14ac:dyDescent="0.3">
      <c r="A10" s="167" t="s">
        <v>194</v>
      </c>
      <c r="B10" s="167"/>
      <c r="C10" s="167"/>
      <c r="D10" s="167"/>
      <c r="E10" s="167"/>
      <c r="F10" s="167"/>
      <c r="G10" s="167"/>
      <c r="H10" s="167"/>
      <c r="I10" s="167"/>
    </row>
    <row r="11" spans="1:16" x14ac:dyDescent="0.25">
      <c r="A11" s="11" t="s">
        <v>341</v>
      </c>
      <c r="B11" s="11" t="s">
        <v>342</v>
      </c>
      <c r="C11" s="11" t="s">
        <v>288</v>
      </c>
      <c r="D11" s="11" t="s">
        <v>343</v>
      </c>
      <c r="E11" s="11" t="s">
        <v>344</v>
      </c>
      <c r="F11" s="11" t="s">
        <v>345</v>
      </c>
      <c r="G11" s="11" t="s">
        <v>346</v>
      </c>
      <c r="H11" s="11"/>
    </row>
    <row r="12" spans="1:16" ht="15.75" thickBot="1" x14ac:dyDescent="0.3">
      <c r="A12" s="167" t="s">
        <v>319</v>
      </c>
      <c r="B12" s="167"/>
      <c r="C12" s="167"/>
      <c r="D12" s="167"/>
      <c r="E12" s="167"/>
      <c r="F12" s="167"/>
      <c r="G12" s="167"/>
      <c r="H12" s="167"/>
      <c r="I12" s="167"/>
    </row>
    <row r="13" spans="1:16" x14ac:dyDescent="0.25">
      <c r="A13" s="11" t="s">
        <v>348</v>
      </c>
      <c r="B13" s="11" t="s">
        <v>168</v>
      </c>
      <c r="C13" s="11" t="s">
        <v>349</v>
      </c>
      <c r="D13" s="11" t="s">
        <v>765</v>
      </c>
      <c r="E13" s="11"/>
      <c r="F13" s="11"/>
      <c r="G13" s="11"/>
      <c r="H13" s="11"/>
    </row>
    <row r="14" spans="1:16" ht="15.75" thickBot="1" x14ac:dyDescent="0.3">
      <c r="A14" s="123" t="s">
        <v>320</v>
      </c>
      <c r="B14" s="123"/>
      <c r="C14" s="123"/>
      <c r="D14" s="123"/>
      <c r="E14" s="123"/>
      <c r="F14" s="123"/>
      <c r="G14" s="123"/>
      <c r="H14" s="123"/>
      <c r="I14" s="123"/>
    </row>
    <row r="15" spans="1:16" x14ac:dyDescent="0.25">
      <c r="A15" s="30" t="s">
        <v>352</v>
      </c>
      <c r="B15" s="30" t="s">
        <v>353</v>
      </c>
      <c r="C15" s="30" t="s">
        <v>354</v>
      </c>
      <c r="D15" s="30" t="s">
        <v>756</v>
      </c>
      <c r="E15" s="30" t="s">
        <v>774</v>
      </c>
      <c r="F15" s="30" t="s">
        <v>783</v>
      </c>
      <c r="G15" s="11" t="s">
        <v>1444</v>
      </c>
      <c r="H15" s="11" t="s">
        <v>1485</v>
      </c>
      <c r="I15" s="11" t="s">
        <v>1512</v>
      </c>
      <c r="J15" s="24" t="s">
        <v>1555</v>
      </c>
      <c r="K15" s="24" t="s">
        <v>808</v>
      </c>
      <c r="L15" s="24" t="s">
        <v>1749</v>
      </c>
      <c r="M15" s="24" t="s">
        <v>1758</v>
      </c>
      <c r="N15" s="24" t="s">
        <v>1767</v>
      </c>
      <c r="O15" s="24" t="s">
        <v>1776</v>
      </c>
      <c r="P15" s="24" t="s">
        <v>2275</v>
      </c>
    </row>
    <row r="16" spans="1:16" ht="15.75" thickBot="1" x14ac:dyDescent="0.3">
      <c r="A16" s="123" t="s">
        <v>322</v>
      </c>
      <c r="B16" s="123"/>
      <c r="C16" s="123"/>
      <c r="D16" s="123"/>
      <c r="E16" s="123"/>
      <c r="F16" s="123"/>
      <c r="G16" s="123"/>
      <c r="H16" s="123"/>
      <c r="I16" s="123"/>
    </row>
    <row r="17" spans="1:19" x14ac:dyDescent="0.25">
      <c r="A17" s="11" t="s">
        <v>355</v>
      </c>
      <c r="B17" s="11" t="s">
        <v>356</v>
      </c>
      <c r="C17" s="11" t="s">
        <v>357</v>
      </c>
      <c r="D17" s="11" t="s">
        <v>358</v>
      </c>
      <c r="E17" s="11" t="s">
        <v>359</v>
      </c>
      <c r="F17" s="11" t="s">
        <v>360</v>
      </c>
      <c r="G17" s="11"/>
      <c r="H17" s="11"/>
      <c r="I17" s="11"/>
    </row>
    <row r="18" spans="1:19" ht="15.75" thickBot="1" x14ac:dyDescent="0.3">
      <c r="A18" s="123" t="s">
        <v>370</v>
      </c>
      <c r="B18" s="123"/>
      <c r="C18" s="123"/>
      <c r="D18" s="123"/>
      <c r="E18" s="123"/>
      <c r="F18" s="123"/>
      <c r="G18" s="123"/>
      <c r="H18" s="123"/>
      <c r="I18" s="123"/>
    </row>
    <row r="19" spans="1:19" x14ac:dyDescent="0.25">
      <c r="A19" s="11" t="s">
        <v>361</v>
      </c>
      <c r="B19" s="11" t="s">
        <v>1537</v>
      </c>
      <c r="C19" s="11" t="s">
        <v>362</v>
      </c>
      <c r="D19" s="11" t="s">
        <v>1341</v>
      </c>
      <c r="E19" s="11" t="s">
        <v>363</v>
      </c>
      <c r="F19" s="11" t="s">
        <v>364</v>
      </c>
      <c r="G19" s="11"/>
      <c r="H19" s="11"/>
      <c r="I19" s="11"/>
    </row>
    <row r="20" spans="1:19" ht="15.75" thickBot="1" x14ac:dyDescent="0.3">
      <c r="A20" s="123" t="s">
        <v>371</v>
      </c>
      <c r="B20" s="123"/>
      <c r="C20" s="123"/>
      <c r="D20" s="123"/>
      <c r="E20" s="123"/>
      <c r="F20" s="123"/>
      <c r="G20" s="123"/>
      <c r="H20" s="123"/>
      <c r="I20" s="123"/>
    </row>
    <row r="21" spans="1:19" x14ac:dyDescent="0.25">
      <c r="A21" s="11" t="s">
        <v>372</v>
      </c>
      <c r="B21" s="11" t="s">
        <v>373</v>
      </c>
      <c r="C21" s="11" t="s">
        <v>374</v>
      </c>
      <c r="D21" s="11" t="s">
        <v>365</v>
      </c>
      <c r="E21" s="11" t="s">
        <v>407</v>
      </c>
      <c r="F21" s="11" t="s">
        <v>416</v>
      </c>
      <c r="G21" s="11" t="s">
        <v>424</v>
      </c>
      <c r="H21" s="11" t="s">
        <v>434</v>
      </c>
      <c r="I21" s="11" t="s">
        <v>443</v>
      </c>
      <c r="J21" s="11" t="s">
        <v>453</v>
      </c>
      <c r="K21" s="11" t="s">
        <v>462</v>
      </c>
      <c r="L21" s="24" t="s">
        <v>493</v>
      </c>
      <c r="M21" s="24" t="s">
        <v>511</v>
      </c>
      <c r="N21" s="24" t="s">
        <v>532</v>
      </c>
      <c r="O21" s="24" t="s">
        <v>552</v>
      </c>
      <c r="P21" s="24" t="s">
        <v>588</v>
      </c>
      <c r="Q21" s="24" t="s">
        <v>589</v>
      </c>
      <c r="R21" s="24" t="s">
        <v>615</v>
      </c>
      <c r="S21" s="24" t="s">
        <v>650</v>
      </c>
    </row>
    <row r="22" spans="1:19" ht="15.75" thickBot="1" x14ac:dyDescent="0.3">
      <c r="A22" s="123" t="s">
        <v>326</v>
      </c>
      <c r="B22" s="123"/>
      <c r="C22" s="123"/>
      <c r="D22" s="123"/>
      <c r="E22" s="123"/>
      <c r="F22" s="123"/>
      <c r="G22" s="123"/>
      <c r="H22" s="123"/>
      <c r="I22" s="123"/>
    </row>
    <row r="23" spans="1:19" x14ac:dyDescent="0.25">
      <c r="A23" s="11" t="s">
        <v>366</v>
      </c>
      <c r="B23" s="11" t="s">
        <v>367</v>
      </c>
      <c r="C23" s="11" t="s">
        <v>368</v>
      </c>
      <c r="D23" s="11" t="s">
        <v>60</v>
      </c>
      <c r="E23" s="11"/>
      <c r="F23" s="11"/>
      <c r="G23" s="11"/>
      <c r="H23" s="11"/>
      <c r="I23" s="11"/>
    </row>
    <row r="24" spans="1:19" ht="15.75" thickBot="1" x14ac:dyDescent="0.3">
      <c r="A24" s="168" t="s">
        <v>175</v>
      </c>
      <c r="B24" s="168"/>
      <c r="C24" s="168"/>
      <c r="D24" s="168"/>
      <c r="E24" s="168"/>
      <c r="F24" s="168"/>
      <c r="G24" s="168"/>
      <c r="H24" s="168"/>
      <c r="I24" s="168"/>
    </row>
    <row r="25" spans="1:19" x14ac:dyDescent="0.25">
      <c r="A25" s="11" t="s">
        <v>1039</v>
      </c>
      <c r="B25" s="11" t="s">
        <v>191</v>
      </c>
      <c r="C25" s="11" t="s">
        <v>199</v>
      </c>
      <c r="D25" s="11" t="s">
        <v>200</v>
      </c>
      <c r="E25" s="11" t="s">
        <v>201</v>
      </c>
      <c r="F25" s="11" t="s">
        <v>218</v>
      </c>
      <c r="G25" s="11"/>
      <c r="H25" s="11"/>
    </row>
    <row r="26" spans="1:19" ht="15.75" thickBot="1" x14ac:dyDescent="0.3">
      <c r="A26" s="168" t="s">
        <v>169</v>
      </c>
      <c r="B26" s="168"/>
      <c r="C26" s="168"/>
      <c r="D26" s="168"/>
      <c r="E26" s="168"/>
      <c r="F26" s="168"/>
      <c r="G26" s="168"/>
      <c r="H26" s="168"/>
      <c r="I26" s="168"/>
    </row>
    <row r="27" spans="1:19" x14ac:dyDescent="0.25">
      <c r="A27" s="11" t="s">
        <v>202</v>
      </c>
      <c r="B27" s="11" t="s">
        <v>170</v>
      </c>
      <c r="C27" s="11"/>
      <c r="D27" s="11"/>
      <c r="E27" s="11"/>
      <c r="F27" s="11"/>
      <c r="G27" s="11"/>
      <c r="H27" s="11"/>
    </row>
    <row r="28" spans="1:19" x14ac:dyDescent="0.25">
      <c r="A28" s="167" t="s">
        <v>1645</v>
      </c>
      <c r="B28" s="167"/>
      <c r="C28" s="167" t="s">
        <v>318</v>
      </c>
      <c r="D28" s="167"/>
      <c r="E28" s="90" t="s">
        <v>27</v>
      </c>
      <c r="F28" s="90" t="s">
        <v>1829</v>
      </c>
      <c r="G28" s="90"/>
      <c r="H28" s="90"/>
      <c r="I28" s="90"/>
    </row>
    <row r="29" spans="1:19" x14ac:dyDescent="0.25">
      <c r="A29" s="81" t="s">
        <v>1646</v>
      </c>
      <c r="C29" s="80" t="s">
        <v>1330</v>
      </c>
      <c r="E29" s="80" t="s">
        <v>1820</v>
      </c>
      <c r="F29" s="80" t="s">
        <v>1904</v>
      </c>
    </row>
    <row r="30" spans="1:19" x14ac:dyDescent="0.25">
      <c r="A30" s="81" t="s">
        <v>1647</v>
      </c>
      <c r="C30" s="80" t="s">
        <v>308</v>
      </c>
      <c r="E30" s="80" t="s">
        <v>1821</v>
      </c>
      <c r="F30" s="80" t="s">
        <v>1818</v>
      </c>
    </row>
    <row r="31" spans="1:19" x14ac:dyDescent="0.25">
      <c r="A31" s="81" t="s">
        <v>1648</v>
      </c>
      <c r="C31" s="80" t="s">
        <v>334</v>
      </c>
      <c r="E31" s="80" t="s">
        <v>1822</v>
      </c>
      <c r="F31" s="80" t="s">
        <v>1819</v>
      </c>
    </row>
    <row r="32" spans="1:19" x14ac:dyDescent="0.25">
      <c r="A32" s="81" t="s">
        <v>1649</v>
      </c>
      <c r="C32" s="80" t="s">
        <v>340</v>
      </c>
      <c r="F32" s="80" t="s">
        <v>1830</v>
      </c>
    </row>
    <row r="33" spans="1:6" x14ac:dyDescent="0.25">
      <c r="A33" s="81" t="s">
        <v>1650</v>
      </c>
      <c r="C33" s="80" t="s">
        <v>832</v>
      </c>
      <c r="F33" s="80" t="s">
        <v>1831</v>
      </c>
    </row>
    <row r="34" spans="1:6" x14ac:dyDescent="0.25">
      <c r="A34" s="81" t="s">
        <v>1651</v>
      </c>
      <c r="C34" s="80" t="s">
        <v>1823</v>
      </c>
    </row>
    <row r="35" spans="1:6" x14ac:dyDescent="0.25">
      <c r="A35" s="81" t="s">
        <v>1652</v>
      </c>
      <c r="C35" s="80" t="s">
        <v>307</v>
      </c>
    </row>
    <row r="36" spans="1:6" x14ac:dyDescent="0.25">
      <c r="A36" s="81" t="s">
        <v>1653</v>
      </c>
      <c r="C36" t="s">
        <v>834</v>
      </c>
    </row>
    <row r="37" spans="1:6" x14ac:dyDescent="0.25">
      <c r="A37" s="81" t="s">
        <v>1654</v>
      </c>
      <c r="C37" t="s">
        <v>345</v>
      </c>
    </row>
    <row r="38" spans="1:6" x14ac:dyDescent="0.25">
      <c r="A38" s="81" t="s">
        <v>1655</v>
      </c>
      <c r="C38" t="s">
        <v>1633</v>
      </c>
    </row>
    <row r="39" spans="1:6" x14ac:dyDescent="0.25">
      <c r="A39" s="81" t="s">
        <v>1656</v>
      </c>
      <c r="C39" t="s">
        <v>296</v>
      </c>
    </row>
    <row r="40" spans="1:6" x14ac:dyDescent="0.25">
      <c r="A40" s="81" t="s">
        <v>1657</v>
      </c>
      <c r="C40" s="80" t="s">
        <v>576</v>
      </c>
    </row>
    <row r="41" spans="1:6" x14ac:dyDescent="0.25">
      <c r="A41" s="81" t="s">
        <v>1658</v>
      </c>
      <c r="C41" t="s">
        <v>302</v>
      </c>
    </row>
    <row r="42" spans="1:6" x14ac:dyDescent="0.25">
      <c r="A42" s="81" t="s">
        <v>1659</v>
      </c>
      <c r="C42" s="80" t="s">
        <v>46</v>
      </c>
    </row>
    <row r="43" spans="1:6" x14ac:dyDescent="0.25">
      <c r="A43" s="81" t="s">
        <v>1660</v>
      </c>
      <c r="C43" s="80" t="s">
        <v>708</v>
      </c>
    </row>
    <row r="44" spans="1:6" x14ac:dyDescent="0.25">
      <c r="A44" s="81" t="s">
        <v>1661</v>
      </c>
      <c r="C44" t="s">
        <v>295</v>
      </c>
    </row>
    <row r="45" spans="1:6" x14ac:dyDescent="0.25">
      <c r="A45" s="81" t="s">
        <v>1662</v>
      </c>
      <c r="C45" t="s">
        <v>335</v>
      </c>
    </row>
    <row r="46" spans="1:6" x14ac:dyDescent="0.25">
      <c r="A46" s="81" t="s">
        <v>1663</v>
      </c>
      <c r="C46" t="s">
        <v>677</v>
      </c>
    </row>
    <row r="47" spans="1:6" x14ac:dyDescent="0.25">
      <c r="A47" s="81" t="s">
        <v>1664</v>
      </c>
      <c r="C47" t="s">
        <v>680</v>
      </c>
    </row>
    <row r="48" spans="1:6" x14ac:dyDescent="0.25">
      <c r="A48" s="81" t="s">
        <v>1665</v>
      </c>
      <c r="C48" t="s">
        <v>292</v>
      </c>
    </row>
    <row r="49" spans="1:3" x14ac:dyDescent="0.25">
      <c r="A49" s="81" t="s">
        <v>1666</v>
      </c>
      <c r="C49" s="80" t="s">
        <v>1331</v>
      </c>
    </row>
    <row r="50" spans="1:3" x14ac:dyDescent="0.25">
      <c r="A50" s="81" t="s">
        <v>1667</v>
      </c>
      <c r="C50" t="s">
        <v>304</v>
      </c>
    </row>
    <row r="51" spans="1:3" x14ac:dyDescent="0.25">
      <c r="A51" s="81" t="s">
        <v>1668</v>
      </c>
      <c r="C51" t="s">
        <v>336</v>
      </c>
    </row>
    <row r="52" spans="1:3" x14ac:dyDescent="0.25">
      <c r="A52" s="81" t="s">
        <v>1669</v>
      </c>
      <c r="C52" t="s">
        <v>1554</v>
      </c>
    </row>
    <row r="53" spans="1:3" x14ac:dyDescent="0.25">
      <c r="A53" s="81" t="s">
        <v>1670</v>
      </c>
      <c r="C53" s="80" t="s">
        <v>431</v>
      </c>
    </row>
    <row r="54" spans="1:3" x14ac:dyDescent="0.25">
      <c r="A54" s="81" t="s">
        <v>1671</v>
      </c>
      <c r="C54" s="80" t="s">
        <v>500</v>
      </c>
    </row>
    <row r="55" spans="1:3" x14ac:dyDescent="0.25">
      <c r="A55" s="81" t="s">
        <v>1672</v>
      </c>
      <c r="C55" t="s">
        <v>228</v>
      </c>
    </row>
    <row r="56" spans="1:3" x14ac:dyDescent="0.25">
      <c r="A56" s="81" t="s">
        <v>1673</v>
      </c>
      <c r="C56" t="s">
        <v>451</v>
      </c>
    </row>
    <row r="57" spans="1:3" x14ac:dyDescent="0.25">
      <c r="A57" s="81" t="s">
        <v>1674</v>
      </c>
      <c r="C57" t="s">
        <v>684</v>
      </c>
    </row>
    <row r="58" spans="1:3" x14ac:dyDescent="0.25">
      <c r="A58" s="81" t="s">
        <v>1675</v>
      </c>
      <c r="C58" t="s">
        <v>284</v>
      </c>
    </row>
    <row r="59" spans="1:3" x14ac:dyDescent="0.25">
      <c r="A59" s="81" t="s">
        <v>1676</v>
      </c>
      <c r="C59" s="80" t="s">
        <v>1825</v>
      </c>
    </row>
    <row r="60" spans="1:3" x14ac:dyDescent="0.25">
      <c r="A60" s="81" t="s">
        <v>1677</v>
      </c>
      <c r="C60" t="s">
        <v>468</v>
      </c>
    </row>
    <row r="61" spans="1:3" x14ac:dyDescent="0.25">
      <c r="A61" s="81" t="s">
        <v>1678</v>
      </c>
      <c r="C61" t="s">
        <v>1638</v>
      </c>
    </row>
    <row r="62" spans="1:3" x14ac:dyDescent="0.25">
      <c r="A62" s="81" t="s">
        <v>1679</v>
      </c>
      <c r="C62" t="s">
        <v>156</v>
      </c>
    </row>
    <row r="63" spans="1:3" x14ac:dyDescent="0.25">
      <c r="A63" s="81" t="s">
        <v>1680</v>
      </c>
      <c r="C63" s="80" t="s">
        <v>1827</v>
      </c>
    </row>
    <row r="64" spans="1:3" x14ac:dyDescent="0.25">
      <c r="A64" s="81" t="s">
        <v>1681</v>
      </c>
      <c r="C64" t="s">
        <v>306</v>
      </c>
    </row>
    <row r="65" spans="1:3" x14ac:dyDescent="0.25">
      <c r="A65" s="81" t="s">
        <v>1682</v>
      </c>
      <c r="C65" t="s">
        <v>305</v>
      </c>
    </row>
    <row r="66" spans="1:3" x14ac:dyDescent="0.25">
      <c r="A66" s="81" t="s">
        <v>1683</v>
      </c>
      <c r="C66" t="s">
        <v>478</v>
      </c>
    </row>
    <row r="67" spans="1:3" x14ac:dyDescent="0.25">
      <c r="A67" s="81" t="s">
        <v>1684</v>
      </c>
      <c r="C67" t="s">
        <v>699</v>
      </c>
    </row>
    <row r="68" spans="1:3" x14ac:dyDescent="0.25">
      <c r="A68" s="81" t="s">
        <v>1685</v>
      </c>
      <c r="C68" t="s">
        <v>339</v>
      </c>
    </row>
    <row r="69" spans="1:3" x14ac:dyDescent="0.25">
      <c r="A69" s="81" t="s">
        <v>1686</v>
      </c>
      <c r="C69" s="80" t="s">
        <v>286</v>
      </c>
    </row>
    <row r="70" spans="1:3" x14ac:dyDescent="0.25">
      <c r="A70" s="81" t="s">
        <v>1687</v>
      </c>
      <c r="C70" t="s">
        <v>1267</v>
      </c>
    </row>
    <row r="71" spans="1:3" x14ac:dyDescent="0.25">
      <c r="A71" s="81" t="s">
        <v>1688</v>
      </c>
      <c r="C71" s="80" t="s">
        <v>1461</v>
      </c>
    </row>
    <row r="72" spans="1:3" x14ac:dyDescent="0.25">
      <c r="A72" s="81" t="s">
        <v>1695</v>
      </c>
      <c r="C72" t="s">
        <v>1643</v>
      </c>
    </row>
    <row r="73" spans="1:3" x14ac:dyDescent="0.25">
      <c r="A73" s="81" t="s">
        <v>1696</v>
      </c>
      <c r="C73" t="s">
        <v>1623</v>
      </c>
    </row>
    <row r="74" spans="1:3" x14ac:dyDescent="0.25">
      <c r="A74" s="81" t="s">
        <v>2179</v>
      </c>
      <c r="C74" t="s">
        <v>298</v>
      </c>
    </row>
    <row r="75" spans="1:3" x14ac:dyDescent="0.25">
      <c r="A75" s="81" t="s">
        <v>2276</v>
      </c>
      <c r="C75" s="80" t="s">
        <v>62</v>
      </c>
    </row>
    <row r="76" spans="1:3" x14ac:dyDescent="0.25">
      <c r="A76" s="81" t="s">
        <v>2280</v>
      </c>
      <c r="C76" t="s">
        <v>501</v>
      </c>
    </row>
    <row r="77" spans="1:3" x14ac:dyDescent="0.25">
      <c r="C77" s="80" t="s">
        <v>68</v>
      </c>
    </row>
    <row r="78" spans="1:3" x14ac:dyDescent="0.25">
      <c r="C78" t="s">
        <v>54</v>
      </c>
    </row>
    <row r="79" spans="1:3" x14ac:dyDescent="0.25">
      <c r="C79" s="80" t="s">
        <v>1826</v>
      </c>
    </row>
    <row r="80" spans="1:3" x14ac:dyDescent="0.25">
      <c r="C80" t="s">
        <v>1332</v>
      </c>
    </row>
    <row r="81" spans="3:5" x14ac:dyDescent="0.25">
      <c r="C81" t="s">
        <v>294</v>
      </c>
    </row>
    <row r="82" spans="3:5" x14ac:dyDescent="0.25">
      <c r="C82" s="80" t="s">
        <v>679</v>
      </c>
    </row>
    <row r="83" spans="3:5" x14ac:dyDescent="0.25">
      <c r="C83" t="s">
        <v>288</v>
      </c>
    </row>
    <row r="84" spans="3:5" x14ac:dyDescent="0.25">
      <c r="C84" t="s">
        <v>287</v>
      </c>
    </row>
    <row r="85" spans="3:5" x14ac:dyDescent="0.25">
      <c r="C85" t="s">
        <v>833</v>
      </c>
    </row>
    <row r="86" spans="3:5" x14ac:dyDescent="0.25">
      <c r="C86" t="s">
        <v>301</v>
      </c>
    </row>
    <row r="87" spans="3:5" x14ac:dyDescent="0.25">
      <c r="C87" t="s">
        <v>297</v>
      </c>
    </row>
    <row r="88" spans="3:5" x14ac:dyDescent="0.25">
      <c r="C88" t="s">
        <v>509</v>
      </c>
    </row>
    <row r="89" spans="3:5" x14ac:dyDescent="0.25">
      <c r="C89" t="s">
        <v>332</v>
      </c>
    </row>
    <row r="90" spans="3:5" x14ac:dyDescent="0.25">
      <c r="C90" t="s">
        <v>836</v>
      </c>
    </row>
    <row r="91" spans="3:5" x14ac:dyDescent="0.25">
      <c r="C91" t="s">
        <v>347</v>
      </c>
    </row>
    <row r="92" spans="3:5" x14ac:dyDescent="0.25">
      <c r="C92" t="s">
        <v>685</v>
      </c>
    </row>
    <row r="93" spans="3:5" x14ac:dyDescent="0.25">
      <c r="C93" t="s">
        <v>1333</v>
      </c>
    </row>
    <row r="94" spans="3:5" x14ac:dyDescent="0.25">
      <c r="C94" t="s">
        <v>682</v>
      </c>
      <c r="E94" s="18"/>
    </row>
    <row r="95" spans="3:5" x14ac:dyDescent="0.25">
      <c r="C95" t="s">
        <v>303</v>
      </c>
      <c r="E95" s="18"/>
    </row>
    <row r="96" spans="3:5" x14ac:dyDescent="0.25">
      <c r="C96" t="s">
        <v>683</v>
      </c>
      <c r="E96" s="18"/>
    </row>
    <row r="97" spans="3:5" x14ac:dyDescent="0.25">
      <c r="C97" t="s">
        <v>333</v>
      </c>
      <c r="E97" s="18"/>
    </row>
    <row r="98" spans="3:5" x14ac:dyDescent="0.25">
      <c r="C98" s="80" t="s">
        <v>290</v>
      </c>
      <c r="E98" s="18"/>
    </row>
    <row r="99" spans="3:5" x14ac:dyDescent="0.25">
      <c r="C99" t="s">
        <v>316</v>
      </c>
    </row>
    <row r="100" spans="3:5" x14ac:dyDescent="0.25">
      <c r="C100" t="s">
        <v>678</v>
      </c>
    </row>
    <row r="101" spans="3:5" x14ac:dyDescent="0.25">
      <c r="C101" t="s">
        <v>337</v>
      </c>
    </row>
    <row r="102" spans="3:5" x14ac:dyDescent="0.25">
      <c r="C102" t="s">
        <v>1630</v>
      </c>
    </row>
    <row r="103" spans="3:5" x14ac:dyDescent="0.25">
      <c r="C103" s="80" t="s">
        <v>1824</v>
      </c>
    </row>
  </sheetData>
  <mergeCells count="17">
    <mergeCell ref="A18:I18"/>
    <mergeCell ref="A22:I22"/>
    <mergeCell ref="A10:I10"/>
    <mergeCell ref="A8:M8"/>
    <mergeCell ref="A12:I12"/>
    <mergeCell ref="A14:I14"/>
    <mergeCell ref="A16:I16"/>
    <mergeCell ref="A1:I1"/>
    <mergeCell ref="A2:I2"/>
    <mergeCell ref="A3:I3"/>
    <mergeCell ref="A4:I4"/>
    <mergeCell ref="A6:I6"/>
    <mergeCell ref="A28:B28"/>
    <mergeCell ref="C28:D28"/>
    <mergeCell ref="A20:I20"/>
    <mergeCell ref="A24:I24"/>
    <mergeCell ref="A26:I26"/>
  </mergeCells>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Processing Tree NEW</vt:lpstr>
      <vt:lpstr>Drops</vt:lpstr>
      <vt:lpstr>Recipes</vt:lpstr>
      <vt:lpstr>New Trees</vt:lpstr>
      <vt:lpstr>Updated Trees</vt:lpstr>
      <vt:lpstr>New Items</vt:lpstr>
      <vt:lpstr>Updated Items</vt:lpstr>
      <vt:lpstr>Wood Properties</vt:lpstr>
      <vt:lpstr>Phenology</vt:lpstr>
      <vt:lpstr>Hook Analysis</vt:lpstr>
      <vt:lpstr>Family Analysis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Kelly Griffin</cp:lastModifiedBy>
  <dcterms:modified xsi:type="dcterms:W3CDTF">2026-10-01T09:59:48Z</dcterms:modified>
</cp:coreProperties>
</file>